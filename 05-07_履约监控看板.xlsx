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home-service-fulfillment-ops\"/>
    </mc:Choice>
  </mc:AlternateContent>
  <xr:revisionPtr revIDLastSave="0" documentId="13_ncr:1_{8B9E0C41-A169-46A4-8CE2-68BBD865690D}" xr6:coauthVersionLast="47" xr6:coauthVersionMax="47" xr10:uidLastSave="{00000000-0000-0000-0000-000000000000}"/>
  <bookViews>
    <workbookView xWindow="1860" yWindow="1860" windowWidth="19200" windowHeight="9970" activeTab="2" xr2:uid="{00000000-000D-0000-FFFF-FFFF00000000}"/>
  </bookViews>
  <sheets>
    <sheet name="看板" sheetId="1" r:id="rId1"/>
    <sheet name="分组汇总" sheetId="2" r:id="rId2"/>
    <sheet name="透视_城市工单量" sheetId="4" r:id="rId3"/>
    <sheet name="工单明细" sheetId="3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01" i="3" l="1"/>
  <c r="W601" i="3" s="1"/>
  <c r="R601" i="3"/>
  <c r="Q601" i="3"/>
  <c r="V600" i="3"/>
  <c r="W600" i="3" s="1"/>
  <c r="R600" i="3"/>
  <c r="Q600" i="3"/>
  <c r="V599" i="3"/>
  <c r="W599" i="3" s="1"/>
  <c r="R599" i="3"/>
  <c r="Q599" i="3"/>
  <c r="V598" i="3"/>
  <c r="W598" i="3" s="1"/>
  <c r="S598" i="3"/>
  <c r="T598" i="3" s="1"/>
  <c r="R598" i="3"/>
  <c r="Q598" i="3"/>
  <c r="V597" i="3"/>
  <c r="W597" i="3" s="1"/>
  <c r="S597" i="3"/>
  <c r="R597" i="3"/>
  <c r="Q597" i="3"/>
  <c r="V596" i="3"/>
  <c r="W596" i="3" s="1"/>
  <c r="S596" i="3"/>
  <c r="R596" i="3"/>
  <c r="Q596" i="3"/>
  <c r="V595" i="3"/>
  <c r="W595" i="3" s="1"/>
  <c r="R595" i="3"/>
  <c r="Q595" i="3"/>
  <c r="W594" i="3"/>
  <c r="V594" i="3"/>
  <c r="S594" i="3"/>
  <c r="R594" i="3"/>
  <c r="Q594" i="3"/>
  <c r="W593" i="3"/>
  <c r="V593" i="3"/>
  <c r="S593" i="3"/>
  <c r="R593" i="3"/>
  <c r="Q593" i="3"/>
  <c r="W592" i="3"/>
  <c r="V592" i="3"/>
  <c r="S592" i="3" s="1"/>
  <c r="R592" i="3"/>
  <c r="Q592" i="3"/>
  <c r="V591" i="3"/>
  <c r="R591" i="3"/>
  <c r="Q591" i="3"/>
  <c r="W590" i="3"/>
  <c r="V590" i="3"/>
  <c r="S590" i="3" s="1"/>
  <c r="R590" i="3"/>
  <c r="Q590" i="3"/>
  <c r="V589" i="3"/>
  <c r="W589" i="3" s="1"/>
  <c r="R589" i="3"/>
  <c r="Q589" i="3"/>
  <c r="W588" i="3"/>
  <c r="V588" i="3"/>
  <c r="S588" i="3"/>
  <c r="R588" i="3"/>
  <c r="Q588" i="3"/>
  <c r="V587" i="3"/>
  <c r="W587" i="3" s="1"/>
  <c r="R587" i="3"/>
  <c r="Q587" i="3"/>
  <c r="V586" i="3"/>
  <c r="W586" i="3" s="1"/>
  <c r="S586" i="3"/>
  <c r="R586" i="3"/>
  <c r="Q586" i="3"/>
  <c r="V585" i="3"/>
  <c r="W585" i="3" s="1"/>
  <c r="R585" i="3"/>
  <c r="Q585" i="3"/>
  <c r="W584" i="3"/>
  <c r="V584" i="3"/>
  <c r="S584" i="3"/>
  <c r="R584" i="3"/>
  <c r="Q584" i="3"/>
  <c r="V583" i="3"/>
  <c r="W583" i="3" s="1"/>
  <c r="R583" i="3"/>
  <c r="Q583" i="3"/>
  <c r="W582" i="3"/>
  <c r="V582" i="3"/>
  <c r="S582" i="3"/>
  <c r="R582" i="3"/>
  <c r="Q582" i="3"/>
  <c r="V581" i="3"/>
  <c r="S581" i="3" s="1"/>
  <c r="T581" i="3"/>
  <c r="R581" i="3"/>
  <c r="Q581" i="3"/>
  <c r="W580" i="3"/>
  <c r="V580" i="3"/>
  <c r="S580" i="3"/>
  <c r="T580" i="3" s="1"/>
  <c r="U580" i="3" s="1"/>
  <c r="R580" i="3"/>
  <c r="Q580" i="3"/>
  <c r="V579" i="3"/>
  <c r="W579" i="3" s="1"/>
  <c r="R579" i="3"/>
  <c r="Q579" i="3"/>
  <c r="W578" i="3"/>
  <c r="V578" i="3"/>
  <c r="S578" i="3" s="1"/>
  <c r="R578" i="3"/>
  <c r="Q578" i="3"/>
  <c r="V577" i="3"/>
  <c r="W577" i="3" s="1"/>
  <c r="R577" i="3"/>
  <c r="Q577" i="3"/>
  <c r="V576" i="3"/>
  <c r="W576" i="3" s="1"/>
  <c r="R576" i="3"/>
  <c r="Q576" i="3"/>
  <c r="V575" i="3"/>
  <c r="W575" i="3" s="1"/>
  <c r="T575" i="3"/>
  <c r="S575" i="3"/>
  <c r="U575" i="3" s="1"/>
  <c r="R575" i="3"/>
  <c r="Q575" i="3"/>
  <c r="W574" i="3"/>
  <c r="V574" i="3"/>
  <c r="S574" i="3"/>
  <c r="T574" i="3" s="1"/>
  <c r="U574" i="3" s="1"/>
  <c r="R574" i="3"/>
  <c r="Q574" i="3"/>
  <c r="V573" i="3"/>
  <c r="W573" i="3" s="1"/>
  <c r="S573" i="3"/>
  <c r="R573" i="3"/>
  <c r="Q573" i="3"/>
  <c r="V572" i="3"/>
  <c r="W572" i="3" s="1"/>
  <c r="S572" i="3"/>
  <c r="R572" i="3"/>
  <c r="Q572" i="3"/>
  <c r="W571" i="3"/>
  <c r="V571" i="3"/>
  <c r="T571" i="3"/>
  <c r="S571" i="3"/>
  <c r="R571" i="3"/>
  <c r="Q571" i="3"/>
  <c r="W570" i="3"/>
  <c r="V570" i="3"/>
  <c r="S570" i="3"/>
  <c r="T570" i="3" s="1"/>
  <c r="U570" i="3" s="1"/>
  <c r="R570" i="3"/>
  <c r="Q570" i="3"/>
  <c r="W569" i="3"/>
  <c r="V569" i="3"/>
  <c r="S569" i="3"/>
  <c r="R569" i="3"/>
  <c r="Q569" i="3"/>
  <c r="W568" i="3"/>
  <c r="V568" i="3"/>
  <c r="S568" i="3" s="1"/>
  <c r="T568" i="3" s="1"/>
  <c r="U568" i="3"/>
  <c r="R568" i="3"/>
  <c r="Q568" i="3"/>
  <c r="V567" i="3"/>
  <c r="S567" i="3" s="1"/>
  <c r="R567" i="3"/>
  <c r="Q567" i="3"/>
  <c r="W566" i="3"/>
  <c r="V566" i="3"/>
  <c r="S566" i="3" s="1"/>
  <c r="R566" i="3"/>
  <c r="Q566" i="3"/>
  <c r="V565" i="3"/>
  <c r="W565" i="3" s="1"/>
  <c r="R565" i="3"/>
  <c r="Q565" i="3"/>
  <c r="W564" i="3"/>
  <c r="V564" i="3"/>
  <c r="S564" i="3"/>
  <c r="R564" i="3"/>
  <c r="Q564" i="3"/>
  <c r="V563" i="3"/>
  <c r="R563" i="3"/>
  <c r="Q563" i="3"/>
  <c r="V562" i="3"/>
  <c r="W562" i="3" s="1"/>
  <c r="S562" i="3"/>
  <c r="R562" i="3"/>
  <c r="Q562" i="3"/>
  <c r="V561" i="3"/>
  <c r="R561" i="3"/>
  <c r="Q561" i="3"/>
  <c r="W560" i="3"/>
  <c r="V560" i="3"/>
  <c r="S560" i="3"/>
  <c r="R560" i="3"/>
  <c r="Q560" i="3"/>
  <c r="V559" i="3"/>
  <c r="W559" i="3" s="1"/>
  <c r="R559" i="3"/>
  <c r="Q559" i="3"/>
  <c r="W558" i="3"/>
  <c r="V558" i="3"/>
  <c r="S558" i="3"/>
  <c r="R558" i="3"/>
  <c r="Q558" i="3"/>
  <c r="V557" i="3"/>
  <c r="R557" i="3"/>
  <c r="Q557" i="3"/>
  <c r="W556" i="3"/>
  <c r="V556" i="3"/>
  <c r="S556" i="3"/>
  <c r="T556" i="3" s="1"/>
  <c r="U556" i="3" s="1"/>
  <c r="R556" i="3"/>
  <c r="Q556" i="3"/>
  <c r="V555" i="3"/>
  <c r="W555" i="3" s="1"/>
  <c r="R555" i="3"/>
  <c r="Q555" i="3"/>
  <c r="W554" i="3"/>
  <c r="V554" i="3"/>
  <c r="S554" i="3"/>
  <c r="R554" i="3"/>
  <c r="Q554" i="3"/>
  <c r="V553" i="3"/>
  <c r="W553" i="3" s="1"/>
  <c r="R553" i="3"/>
  <c r="Q553" i="3"/>
  <c r="V552" i="3"/>
  <c r="W552" i="3" s="1"/>
  <c r="R552" i="3"/>
  <c r="Q552" i="3"/>
  <c r="V551" i="3"/>
  <c r="W551" i="3" s="1"/>
  <c r="T551" i="3"/>
  <c r="S551" i="3"/>
  <c r="U551" i="3" s="1"/>
  <c r="R551" i="3"/>
  <c r="Q551" i="3"/>
  <c r="V550" i="3"/>
  <c r="S550" i="3" s="1"/>
  <c r="T550" i="3" s="1"/>
  <c r="U550" i="3"/>
  <c r="R550" i="3"/>
  <c r="Q550" i="3"/>
  <c r="V549" i="3"/>
  <c r="W549" i="3" s="1"/>
  <c r="S549" i="3"/>
  <c r="R549" i="3"/>
  <c r="Q549" i="3"/>
  <c r="V548" i="3"/>
  <c r="W548" i="3" s="1"/>
  <c r="S548" i="3"/>
  <c r="R548" i="3"/>
  <c r="Q548" i="3"/>
  <c r="W547" i="3"/>
  <c r="V547" i="3"/>
  <c r="S547" i="3"/>
  <c r="R547" i="3"/>
  <c r="Q547" i="3"/>
  <c r="W546" i="3"/>
  <c r="V546" i="3"/>
  <c r="S546" i="3"/>
  <c r="T546" i="3" s="1"/>
  <c r="U546" i="3" s="1"/>
  <c r="R546" i="3"/>
  <c r="Q546" i="3"/>
  <c r="W545" i="3"/>
  <c r="V545" i="3"/>
  <c r="S545" i="3"/>
  <c r="R545" i="3"/>
  <c r="Q545" i="3"/>
  <c r="W544" i="3"/>
  <c r="V544" i="3"/>
  <c r="S544" i="3" s="1"/>
  <c r="T544" i="3" s="1"/>
  <c r="U544" i="3"/>
  <c r="R544" i="3"/>
  <c r="Q544" i="3"/>
  <c r="V543" i="3"/>
  <c r="S543" i="3" s="1"/>
  <c r="R543" i="3"/>
  <c r="Q543" i="3"/>
  <c r="W542" i="3"/>
  <c r="V542" i="3"/>
  <c r="S542" i="3" s="1"/>
  <c r="R542" i="3"/>
  <c r="Q542" i="3"/>
  <c r="V541" i="3"/>
  <c r="W541" i="3" s="1"/>
  <c r="R541" i="3"/>
  <c r="Q541" i="3"/>
  <c r="W540" i="3"/>
  <c r="V540" i="3"/>
  <c r="S540" i="3"/>
  <c r="R540" i="3"/>
  <c r="Q540" i="3"/>
  <c r="V539" i="3"/>
  <c r="R539" i="3"/>
  <c r="Q539" i="3"/>
  <c r="V538" i="3"/>
  <c r="W538" i="3" s="1"/>
  <c r="S538" i="3"/>
  <c r="R538" i="3"/>
  <c r="Q538" i="3"/>
  <c r="V537" i="3"/>
  <c r="R537" i="3"/>
  <c r="Q537" i="3"/>
  <c r="W536" i="3"/>
  <c r="V536" i="3"/>
  <c r="S536" i="3"/>
  <c r="R536" i="3"/>
  <c r="Q536" i="3"/>
  <c r="V535" i="3"/>
  <c r="W535" i="3" s="1"/>
  <c r="R535" i="3"/>
  <c r="Q535" i="3"/>
  <c r="W534" i="3"/>
  <c r="V534" i="3"/>
  <c r="S534" i="3"/>
  <c r="R534" i="3"/>
  <c r="Q534" i="3"/>
  <c r="V533" i="3"/>
  <c r="R533" i="3"/>
  <c r="Q533" i="3"/>
  <c r="W532" i="3"/>
  <c r="V532" i="3"/>
  <c r="S532" i="3"/>
  <c r="T532" i="3" s="1"/>
  <c r="U532" i="3" s="1"/>
  <c r="R532" i="3"/>
  <c r="Q532" i="3"/>
  <c r="V531" i="3"/>
  <c r="W531" i="3" s="1"/>
  <c r="R531" i="3"/>
  <c r="Q531" i="3"/>
  <c r="W530" i="3"/>
  <c r="V530" i="3"/>
  <c r="S530" i="3"/>
  <c r="R530" i="3"/>
  <c r="Q530" i="3"/>
  <c r="V529" i="3"/>
  <c r="W529" i="3" s="1"/>
  <c r="R529" i="3"/>
  <c r="Q529" i="3"/>
  <c r="V528" i="3"/>
  <c r="W528" i="3" s="1"/>
  <c r="R528" i="3"/>
  <c r="Q528" i="3"/>
  <c r="V527" i="3"/>
  <c r="W527" i="3" s="1"/>
  <c r="T527" i="3"/>
  <c r="S527" i="3"/>
  <c r="R527" i="3"/>
  <c r="Q527" i="3"/>
  <c r="V526" i="3"/>
  <c r="S526" i="3" s="1"/>
  <c r="T526" i="3" s="1"/>
  <c r="U526" i="3"/>
  <c r="R526" i="3"/>
  <c r="Q526" i="3"/>
  <c r="V525" i="3"/>
  <c r="W525" i="3" s="1"/>
  <c r="S525" i="3"/>
  <c r="R525" i="3"/>
  <c r="Q525" i="3"/>
  <c r="V524" i="3"/>
  <c r="W524" i="3" s="1"/>
  <c r="S524" i="3"/>
  <c r="R524" i="3"/>
  <c r="Q524" i="3"/>
  <c r="W523" i="3"/>
  <c r="V523" i="3"/>
  <c r="S523" i="3"/>
  <c r="R523" i="3"/>
  <c r="Q523" i="3"/>
  <c r="W522" i="3"/>
  <c r="V522" i="3"/>
  <c r="S522" i="3"/>
  <c r="T522" i="3" s="1"/>
  <c r="U522" i="3" s="1"/>
  <c r="R522" i="3"/>
  <c r="Q522" i="3"/>
  <c r="W521" i="3"/>
  <c r="V521" i="3"/>
  <c r="S521" i="3"/>
  <c r="R521" i="3"/>
  <c r="Q521" i="3"/>
  <c r="W520" i="3"/>
  <c r="V520" i="3"/>
  <c r="S520" i="3" s="1"/>
  <c r="T520" i="3" s="1"/>
  <c r="R520" i="3"/>
  <c r="Q520" i="3"/>
  <c r="V519" i="3"/>
  <c r="S519" i="3" s="1"/>
  <c r="R519" i="3"/>
  <c r="Q519" i="3"/>
  <c r="W518" i="3"/>
  <c r="V518" i="3"/>
  <c r="S518" i="3" s="1"/>
  <c r="R518" i="3"/>
  <c r="Q518" i="3"/>
  <c r="V517" i="3"/>
  <c r="W517" i="3" s="1"/>
  <c r="R517" i="3"/>
  <c r="Q517" i="3"/>
  <c r="W516" i="3"/>
  <c r="V516" i="3"/>
  <c r="S516" i="3"/>
  <c r="T516" i="3" s="1"/>
  <c r="R516" i="3"/>
  <c r="Q516" i="3"/>
  <c r="V515" i="3"/>
  <c r="R515" i="3"/>
  <c r="Q515" i="3"/>
  <c r="V514" i="3"/>
  <c r="W514" i="3" s="1"/>
  <c r="S514" i="3"/>
  <c r="R514" i="3"/>
  <c r="Q514" i="3"/>
  <c r="V513" i="3"/>
  <c r="R513" i="3"/>
  <c r="Q513" i="3"/>
  <c r="W512" i="3"/>
  <c r="V512" i="3"/>
  <c r="S512" i="3"/>
  <c r="R512" i="3"/>
  <c r="Q512" i="3"/>
  <c r="V511" i="3"/>
  <c r="W511" i="3" s="1"/>
  <c r="R511" i="3"/>
  <c r="Q511" i="3"/>
  <c r="W510" i="3"/>
  <c r="V510" i="3"/>
  <c r="S510" i="3"/>
  <c r="R510" i="3"/>
  <c r="Q510" i="3"/>
  <c r="V509" i="3"/>
  <c r="R509" i="3"/>
  <c r="Q509" i="3"/>
  <c r="W508" i="3"/>
  <c r="V508" i="3"/>
  <c r="S508" i="3"/>
  <c r="T508" i="3" s="1"/>
  <c r="U508" i="3" s="1"/>
  <c r="R508" i="3"/>
  <c r="Q508" i="3"/>
  <c r="V507" i="3"/>
  <c r="W507" i="3" s="1"/>
  <c r="R507" i="3"/>
  <c r="Q507" i="3"/>
  <c r="W506" i="3"/>
  <c r="V506" i="3"/>
  <c r="S506" i="3"/>
  <c r="R506" i="3"/>
  <c r="Q506" i="3"/>
  <c r="V505" i="3"/>
  <c r="W505" i="3" s="1"/>
  <c r="R505" i="3"/>
  <c r="Q505" i="3"/>
  <c r="V504" i="3"/>
  <c r="W504" i="3" s="1"/>
  <c r="R504" i="3"/>
  <c r="Q504" i="3"/>
  <c r="V503" i="3"/>
  <c r="W503" i="3" s="1"/>
  <c r="T503" i="3"/>
  <c r="S503" i="3"/>
  <c r="U503" i="3" s="1"/>
  <c r="R503" i="3"/>
  <c r="Q503" i="3"/>
  <c r="V502" i="3"/>
  <c r="S502" i="3" s="1"/>
  <c r="T502" i="3" s="1"/>
  <c r="U502" i="3"/>
  <c r="R502" i="3"/>
  <c r="Q502" i="3"/>
  <c r="V501" i="3"/>
  <c r="W501" i="3" s="1"/>
  <c r="S501" i="3"/>
  <c r="R501" i="3"/>
  <c r="Q501" i="3"/>
  <c r="V500" i="3"/>
  <c r="W500" i="3" s="1"/>
  <c r="S500" i="3"/>
  <c r="R500" i="3"/>
  <c r="Q500" i="3"/>
  <c r="W499" i="3"/>
  <c r="V499" i="3"/>
  <c r="S499" i="3"/>
  <c r="R499" i="3"/>
  <c r="Q499" i="3"/>
  <c r="W498" i="3"/>
  <c r="V498" i="3"/>
  <c r="U498" i="3"/>
  <c r="S498" i="3"/>
  <c r="T498" i="3" s="1"/>
  <c r="R498" i="3"/>
  <c r="Q498" i="3"/>
  <c r="W497" i="3"/>
  <c r="V497" i="3"/>
  <c r="S497" i="3"/>
  <c r="R497" i="3"/>
  <c r="Q497" i="3"/>
  <c r="W496" i="3"/>
  <c r="V496" i="3"/>
  <c r="S496" i="3" s="1"/>
  <c r="T496" i="3" s="1"/>
  <c r="U496" i="3"/>
  <c r="R496" i="3"/>
  <c r="Q496" i="3"/>
  <c r="V495" i="3"/>
  <c r="S495" i="3" s="1"/>
  <c r="R495" i="3"/>
  <c r="Q495" i="3"/>
  <c r="W494" i="3"/>
  <c r="V494" i="3"/>
  <c r="S494" i="3" s="1"/>
  <c r="R494" i="3"/>
  <c r="Q494" i="3"/>
  <c r="V493" i="3"/>
  <c r="W493" i="3" s="1"/>
  <c r="R493" i="3"/>
  <c r="Q493" i="3"/>
  <c r="W492" i="3"/>
  <c r="V492" i="3"/>
  <c r="S492" i="3"/>
  <c r="R492" i="3"/>
  <c r="Q492" i="3"/>
  <c r="V491" i="3"/>
  <c r="R491" i="3"/>
  <c r="Q491" i="3"/>
  <c r="V490" i="3"/>
  <c r="W490" i="3" s="1"/>
  <c r="S490" i="3"/>
  <c r="R490" i="3"/>
  <c r="Q490" i="3"/>
  <c r="V489" i="3"/>
  <c r="R489" i="3"/>
  <c r="Q489" i="3"/>
  <c r="W488" i="3"/>
  <c r="V488" i="3"/>
  <c r="S488" i="3"/>
  <c r="R488" i="3"/>
  <c r="Q488" i="3"/>
  <c r="V487" i="3"/>
  <c r="W487" i="3" s="1"/>
  <c r="R487" i="3"/>
  <c r="Q487" i="3"/>
  <c r="W486" i="3"/>
  <c r="V486" i="3"/>
  <c r="S486" i="3"/>
  <c r="R486" i="3"/>
  <c r="Q486" i="3"/>
  <c r="V485" i="3"/>
  <c r="R485" i="3"/>
  <c r="Q485" i="3"/>
  <c r="W484" i="3"/>
  <c r="V484" i="3"/>
  <c r="S484" i="3"/>
  <c r="T484" i="3" s="1"/>
  <c r="U484" i="3" s="1"/>
  <c r="R484" i="3"/>
  <c r="Q484" i="3"/>
  <c r="V483" i="3"/>
  <c r="W483" i="3" s="1"/>
  <c r="R483" i="3"/>
  <c r="Q483" i="3"/>
  <c r="W482" i="3"/>
  <c r="V482" i="3"/>
  <c r="S482" i="3"/>
  <c r="R482" i="3"/>
  <c r="Q482" i="3"/>
  <c r="V481" i="3"/>
  <c r="W481" i="3" s="1"/>
  <c r="R481" i="3"/>
  <c r="Q481" i="3"/>
  <c r="V480" i="3"/>
  <c r="W480" i="3" s="1"/>
  <c r="R480" i="3"/>
  <c r="Q480" i="3"/>
  <c r="V479" i="3"/>
  <c r="W479" i="3" s="1"/>
  <c r="T479" i="3"/>
  <c r="S479" i="3"/>
  <c r="R479" i="3"/>
  <c r="Q479" i="3"/>
  <c r="W478" i="3"/>
  <c r="V478" i="3"/>
  <c r="S478" i="3" s="1"/>
  <c r="T478" i="3" s="1"/>
  <c r="U478" i="3" s="1"/>
  <c r="R478" i="3"/>
  <c r="Q478" i="3"/>
  <c r="V477" i="3"/>
  <c r="W477" i="3" s="1"/>
  <c r="S477" i="3"/>
  <c r="R477" i="3"/>
  <c r="Q477" i="3"/>
  <c r="V476" i="3"/>
  <c r="W476" i="3" s="1"/>
  <c r="S476" i="3"/>
  <c r="R476" i="3"/>
  <c r="Q476" i="3"/>
  <c r="W475" i="3"/>
  <c r="V475" i="3"/>
  <c r="S475" i="3"/>
  <c r="R475" i="3"/>
  <c r="Q475" i="3"/>
  <c r="W474" i="3"/>
  <c r="V474" i="3"/>
  <c r="S474" i="3"/>
  <c r="T474" i="3" s="1"/>
  <c r="U474" i="3" s="1"/>
  <c r="R474" i="3"/>
  <c r="Q474" i="3"/>
  <c r="W473" i="3"/>
  <c r="V473" i="3"/>
  <c r="S473" i="3"/>
  <c r="R473" i="3"/>
  <c r="Q473" i="3"/>
  <c r="W472" i="3"/>
  <c r="V472" i="3"/>
  <c r="S472" i="3" s="1"/>
  <c r="T472" i="3" s="1"/>
  <c r="U472" i="3"/>
  <c r="R472" i="3"/>
  <c r="Q472" i="3"/>
  <c r="W471" i="3"/>
  <c r="V471" i="3"/>
  <c r="S471" i="3" s="1"/>
  <c r="R471" i="3"/>
  <c r="Q471" i="3"/>
  <c r="W470" i="3"/>
  <c r="V470" i="3"/>
  <c r="S470" i="3" s="1"/>
  <c r="R470" i="3"/>
  <c r="Q470" i="3"/>
  <c r="V469" i="3"/>
  <c r="W469" i="3" s="1"/>
  <c r="R469" i="3"/>
  <c r="Q469" i="3"/>
  <c r="V468" i="3"/>
  <c r="W468" i="3" s="1"/>
  <c r="T468" i="3"/>
  <c r="U468" i="3" s="1"/>
  <c r="S468" i="3"/>
  <c r="R468" i="3"/>
  <c r="Q468" i="3"/>
  <c r="V467" i="3"/>
  <c r="R467" i="3"/>
  <c r="Q467" i="3"/>
  <c r="V466" i="3"/>
  <c r="W466" i="3" s="1"/>
  <c r="S466" i="3"/>
  <c r="R466" i="3"/>
  <c r="Q466" i="3"/>
  <c r="V465" i="3"/>
  <c r="R465" i="3"/>
  <c r="Q465" i="3"/>
  <c r="W464" i="3"/>
  <c r="V464" i="3"/>
  <c r="S464" i="3"/>
  <c r="R464" i="3"/>
  <c r="Q464" i="3"/>
  <c r="V463" i="3"/>
  <c r="W463" i="3" s="1"/>
  <c r="R463" i="3"/>
  <c r="Q463" i="3"/>
  <c r="W462" i="3"/>
  <c r="V462" i="3"/>
  <c r="S462" i="3"/>
  <c r="R462" i="3"/>
  <c r="Q462" i="3"/>
  <c r="V461" i="3"/>
  <c r="R461" i="3"/>
  <c r="Q461" i="3"/>
  <c r="W460" i="3"/>
  <c r="V460" i="3"/>
  <c r="S460" i="3"/>
  <c r="T460" i="3" s="1"/>
  <c r="U460" i="3" s="1"/>
  <c r="R460" i="3"/>
  <c r="Q460" i="3"/>
  <c r="V459" i="3"/>
  <c r="W459" i="3" s="1"/>
  <c r="R459" i="3"/>
  <c r="Q459" i="3"/>
  <c r="W458" i="3"/>
  <c r="V458" i="3"/>
  <c r="S458" i="3"/>
  <c r="R458" i="3"/>
  <c r="Q458" i="3"/>
  <c r="V457" i="3"/>
  <c r="W457" i="3" s="1"/>
  <c r="R457" i="3"/>
  <c r="Q457" i="3"/>
  <c r="V456" i="3"/>
  <c r="W456" i="3" s="1"/>
  <c r="R456" i="3"/>
  <c r="Q456" i="3"/>
  <c r="V455" i="3"/>
  <c r="W455" i="3" s="1"/>
  <c r="T455" i="3"/>
  <c r="S455" i="3"/>
  <c r="U455" i="3" s="1"/>
  <c r="R455" i="3"/>
  <c r="Q455" i="3"/>
  <c r="V454" i="3"/>
  <c r="S454" i="3" s="1"/>
  <c r="T454" i="3" s="1"/>
  <c r="U454" i="3"/>
  <c r="R454" i="3"/>
  <c r="Q454" i="3"/>
  <c r="V453" i="3"/>
  <c r="W453" i="3" s="1"/>
  <c r="S453" i="3"/>
  <c r="R453" i="3"/>
  <c r="Q453" i="3"/>
  <c r="V452" i="3"/>
  <c r="W452" i="3" s="1"/>
  <c r="S452" i="3"/>
  <c r="R452" i="3"/>
  <c r="Q452" i="3"/>
  <c r="W451" i="3"/>
  <c r="V451" i="3"/>
  <c r="T451" i="3"/>
  <c r="S451" i="3"/>
  <c r="R451" i="3"/>
  <c r="Q451" i="3"/>
  <c r="W450" i="3"/>
  <c r="V450" i="3"/>
  <c r="S450" i="3"/>
  <c r="T450" i="3" s="1"/>
  <c r="U450" i="3" s="1"/>
  <c r="R450" i="3"/>
  <c r="Q450" i="3"/>
  <c r="W449" i="3"/>
  <c r="V449" i="3"/>
  <c r="S449" i="3"/>
  <c r="R449" i="3"/>
  <c r="Q449" i="3"/>
  <c r="W448" i="3"/>
  <c r="V448" i="3"/>
  <c r="S448" i="3" s="1"/>
  <c r="T448" i="3" s="1"/>
  <c r="R448" i="3"/>
  <c r="Q448" i="3"/>
  <c r="W447" i="3"/>
  <c r="V447" i="3"/>
  <c r="S447" i="3" s="1"/>
  <c r="R447" i="3"/>
  <c r="Q447" i="3"/>
  <c r="W446" i="3"/>
  <c r="V446" i="3"/>
  <c r="S446" i="3" s="1"/>
  <c r="R446" i="3"/>
  <c r="Q446" i="3"/>
  <c r="V445" i="3"/>
  <c r="W445" i="3" s="1"/>
  <c r="R445" i="3"/>
  <c r="Q445" i="3"/>
  <c r="V444" i="3"/>
  <c r="W444" i="3" s="1"/>
  <c r="S444" i="3"/>
  <c r="R444" i="3"/>
  <c r="Q444" i="3"/>
  <c r="V443" i="3"/>
  <c r="R443" i="3"/>
  <c r="Q443" i="3"/>
  <c r="V442" i="3"/>
  <c r="W442" i="3" s="1"/>
  <c r="S442" i="3"/>
  <c r="R442" i="3"/>
  <c r="Q442" i="3"/>
  <c r="V441" i="3"/>
  <c r="R441" i="3"/>
  <c r="Q441" i="3"/>
  <c r="W440" i="3"/>
  <c r="V440" i="3"/>
  <c r="S440" i="3"/>
  <c r="R440" i="3"/>
  <c r="Q440" i="3"/>
  <c r="V439" i="3"/>
  <c r="W439" i="3" s="1"/>
  <c r="R439" i="3"/>
  <c r="Q439" i="3"/>
  <c r="W438" i="3"/>
  <c r="V438" i="3"/>
  <c r="S438" i="3"/>
  <c r="R438" i="3"/>
  <c r="Q438" i="3"/>
  <c r="V437" i="3"/>
  <c r="R437" i="3"/>
  <c r="Q437" i="3"/>
  <c r="W436" i="3"/>
  <c r="V436" i="3"/>
  <c r="S436" i="3"/>
  <c r="T436" i="3" s="1"/>
  <c r="U436" i="3" s="1"/>
  <c r="R436" i="3"/>
  <c r="Q436" i="3"/>
  <c r="V435" i="3"/>
  <c r="W435" i="3" s="1"/>
  <c r="R435" i="3"/>
  <c r="Q435" i="3"/>
  <c r="W434" i="3"/>
  <c r="V434" i="3"/>
  <c r="S434" i="3"/>
  <c r="R434" i="3"/>
  <c r="Q434" i="3"/>
  <c r="V433" i="3"/>
  <c r="W433" i="3" s="1"/>
  <c r="R433" i="3"/>
  <c r="Q433" i="3"/>
  <c r="V432" i="3"/>
  <c r="W432" i="3" s="1"/>
  <c r="R432" i="3"/>
  <c r="Q432" i="3"/>
  <c r="V431" i="3"/>
  <c r="W431" i="3" s="1"/>
  <c r="T431" i="3"/>
  <c r="S431" i="3"/>
  <c r="U431" i="3" s="1"/>
  <c r="R431" i="3"/>
  <c r="Q431" i="3"/>
  <c r="V430" i="3"/>
  <c r="S430" i="3" s="1"/>
  <c r="T430" i="3" s="1"/>
  <c r="U430" i="3"/>
  <c r="R430" i="3"/>
  <c r="Q430" i="3"/>
  <c r="V429" i="3"/>
  <c r="W429" i="3" s="1"/>
  <c r="S429" i="3"/>
  <c r="R429" i="3"/>
  <c r="Q429" i="3"/>
  <c r="V428" i="3"/>
  <c r="W428" i="3" s="1"/>
  <c r="S428" i="3"/>
  <c r="R428" i="3"/>
  <c r="Q428" i="3"/>
  <c r="W427" i="3"/>
  <c r="V427" i="3"/>
  <c r="S427" i="3"/>
  <c r="R427" i="3"/>
  <c r="Q427" i="3"/>
  <c r="W426" i="3"/>
  <c r="V426" i="3"/>
  <c r="S426" i="3"/>
  <c r="T426" i="3" s="1"/>
  <c r="U426" i="3" s="1"/>
  <c r="R426" i="3"/>
  <c r="Q426" i="3"/>
  <c r="W425" i="3"/>
  <c r="V425" i="3"/>
  <c r="S425" i="3"/>
  <c r="R425" i="3"/>
  <c r="Q425" i="3"/>
  <c r="W424" i="3"/>
  <c r="V424" i="3"/>
  <c r="S424" i="3" s="1"/>
  <c r="T424" i="3" s="1"/>
  <c r="R424" i="3"/>
  <c r="Q424" i="3"/>
  <c r="V423" i="3"/>
  <c r="S423" i="3" s="1"/>
  <c r="R423" i="3"/>
  <c r="Q423" i="3"/>
  <c r="W422" i="3"/>
  <c r="V422" i="3"/>
  <c r="S422" i="3" s="1"/>
  <c r="R422" i="3"/>
  <c r="Q422" i="3"/>
  <c r="V421" i="3"/>
  <c r="W421" i="3" s="1"/>
  <c r="R421" i="3"/>
  <c r="Q421" i="3"/>
  <c r="V420" i="3"/>
  <c r="W420" i="3" s="1"/>
  <c r="S420" i="3"/>
  <c r="R420" i="3"/>
  <c r="Q420" i="3"/>
  <c r="V419" i="3"/>
  <c r="R419" i="3"/>
  <c r="Q419" i="3"/>
  <c r="V418" i="3"/>
  <c r="W418" i="3" s="1"/>
  <c r="S418" i="3"/>
  <c r="R418" i="3"/>
  <c r="Q418" i="3"/>
  <c r="V417" i="3"/>
  <c r="R417" i="3"/>
  <c r="Q417" i="3"/>
  <c r="W416" i="3"/>
  <c r="V416" i="3"/>
  <c r="S416" i="3"/>
  <c r="R416" i="3"/>
  <c r="Q416" i="3"/>
  <c r="V415" i="3"/>
  <c r="W415" i="3" s="1"/>
  <c r="R415" i="3"/>
  <c r="Q415" i="3"/>
  <c r="W414" i="3"/>
  <c r="V414" i="3"/>
  <c r="S414" i="3"/>
  <c r="R414" i="3"/>
  <c r="Q414" i="3"/>
  <c r="V413" i="3"/>
  <c r="R413" i="3"/>
  <c r="Q413" i="3"/>
  <c r="W412" i="3"/>
  <c r="V412" i="3"/>
  <c r="S412" i="3"/>
  <c r="T412" i="3" s="1"/>
  <c r="U412" i="3" s="1"/>
  <c r="R412" i="3"/>
  <c r="Q412" i="3"/>
  <c r="V411" i="3"/>
  <c r="W411" i="3" s="1"/>
  <c r="R411" i="3"/>
  <c r="Q411" i="3"/>
  <c r="W410" i="3"/>
  <c r="V410" i="3"/>
  <c r="S410" i="3"/>
  <c r="R410" i="3"/>
  <c r="Q410" i="3"/>
  <c r="V409" i="3"/>
  <c r="W409" i="3" s="1"/>
  <c r="R409" i="3"/>
  <c r="Q409" i="3"/>
  <c r="V408" i="3"/>
  <c r="W408" i="3" s="1"/>
  <c r="R408" i="3"/>
  <c r="Q408" i="3"/>
  <c r="V407" i="3"/>
  <c r="W407" i="3" s="1"/>
  <c r="T407" i="3"/>
  <c r="S407" i="3"/>
  <c r="U407" i="3" s="1"/>
  <c r="R407" i="3"/>
  <c r="Q407" i="3"/>
  <c r="W406" i="3"/>
  <c r="V406" i="3"/>
  <c r="S406" i="3" s="1"/>
  <c r="T406" i="3" s="1"/>
  <c r="U406" i="3"/>
  <c r="R406" i="3"/>
  <c r="Q406" i="3"/>
  <c r="V405" i="3"/>
  <c r="W405" i="3" s="1"/>
  <c r="S405" i="3"/>
  <c r="R405" i="3"/>
  <c r="Q405" i="3"/>
  <c r="V404" i="3"/>
  <c r="W404" i="3" s="1"/>
  <c r="S404" i="3"/>
  <c r="R404" i="3"/>
  <c r="Q404" i="3"/>
  <c r="W403" i="3"/>
  <c r="V403" i="3"/>
  <c r="S403" i="3"/>
  <c r="R403" i="3"/>
  <c r="Q403" i="3"/>
  <c r="W402" i="3"/>
  <c r="V402" i="3"/>
  <c r="U402" i="3"/>
  <c r="S402" i="3"/>
  <c r="T402" i="3" s="1"/>
  <c r="R402" i="3"/>
  <c r="Q402" i="3"/>
  <c r="W401" i="3"/>
  <c r="V401" i="3"/>
  <c r="S401" i="3"/>
  <c r="R401" i="3"/>
  <c r="Q401" i="3"/>
  <c r="W400" i="3"/>
  <c r="V400" i="3"/>
  <c r="S400" i="3" s="1"/>
  <c r="T400" i="3" s="1"/>
  <c r="U400" i="3"/>
  <c r="R400" i="3"/>
  <c r="Q400" i="3"/>
  <c r="V399" i="3"/>
  <c r="S399" i="3" s="1"/>
  <c r="R399" i="3"/>
  <c r="Q399" i="3"/>
  <c r="W398" i="3"/>
  <c r="V398" i="3"/>
  <c r="S398" i="3" s="1"/>
  <c r="R398" i="3"/>
  <c r="Q398" i="3"/>
  <c r="V397" i="3"/>
  <c r="W397" i="3" s="1"/>
  <c r="R397" i="3"/>
  <c r="Q397" i="3"/>
  <c r="V396" i="3"/>
  <c r="W396" i="3" s="1"/>
  <c r="T396" i="3"/>
  <c r="S396" i="3"/>
  <c r="U396" i="3" s="1"/>
  <c r="R396" i="3"/>
  <c r="Q396" i="3"/>
  <c r="V395" i="3"/>
  <c r="R395" i="3"/>
  <c r="Q395" i="3"/>
  <c r="V394" i="3"/>
  <c r="W394" i="3" s="1"/>
  <c r="S394" i="3"/>
  <c r="R394" i="3"/>
  <c r="Q394" i="3"/>
  <c r="V393" i="3"/>
  <c r="R393" i="3"/>
  <c r="Q393" i="3"/>
  <c r="W392" i="3"/>
  <c r="V392" i="3"/>
  <c r="S392" i="3"/>
  <c r="R392" i="3"/>
  <c r="Q392" i="3"/>
  <c r="V391" i="3"/>
  <c r="W391" i="3" s="1"/>
  <c r="R391" i="3"/>
  <c r="Q391" i="3"/>
  <c r="W390" i="3"/>
  <c r="V390" i="3"/>
  <c r="S390" i="3"/>
  <c r="R390" i="3"/>
  <c r="Q390" i="3"/>
  <c r="V389" i="3"/>
  <c r="R389" i="3"/>
  <c r="Q389" i="3"/>
  <c r="W388" i="3"/>
  <c r="V388" i="3"/>
  <c r="S388" i="3"/>
  <c r="T388" i="3" s="1"/>
  <c r="U388" i="3" s="1"/>
  <c r="R388" i="3"/>
  <c r="Q388" i="3"/>
  <c r="V387" i="3"/>
  <c r="W387" i="3" s="1"/>
  <c r="R387" i="3"/>
  <c r="Q387" i="3"/>
  <c r="W386" i="3"/>
  <c r="V386" i="3"/>
  <c r="S386" i="3"/>
  <c r="R386" i="3"/>
  <c r="Q386" i="3"/>
  <c r="V385" i="3"/>
  <c r="W385" i="3" s="1"/>
  <c r="R385" i="3"/>
  <c r="Q385" i="3"/>
  <c r="V384" i="3"/>
  <c r="W384" i="3" s="1"/>
  <c r="R384" i="3"/>
  <c r="Q384" i="3"/>
  <c r="V383" i="3"/>
  <c r="W383" i="3" s="1"/>
  <c r="T383" i="3"/>
  <c r="S383" i="3"/>
  <c r="U383" i="3" s="1"/>
  <c r="R383" i="3"/>
  <c r="Q383" i="3"/>
  <c r="V382" i="3"/>
  <c r="S382" i="3" s="1"/>
  <c r="T382" i="3" s="1"/>
  <c r="U382" i="3"/>
  <c r="R382" i="3"/>
  <c r="Q382" i="3"/>
  <c r="V381" i="3"/>
  <c r="W381" i="3" s="1"/>
  <c r="S381" i="3"/>
  <c r="R381" i="3"/>
  <c r="Q381" i="3"/>
  <c r="V380" i="3"/>
  <c r="W380" i="3" s="1"/>
  <c r="S380" i="3"/>
  <c r="R380" i="3"/>
  <c r="Q380" i="3"/>
  <c r="W379" i="3"/>
  <c r="V379" i="3"/>
  <c r="T379" i="3"/>
  <c r="S379" i="3"/>
  <c r="R379" i="3"/>
  <c r="Q379" i="3"/>
  <c r="W378" i="3"/>
  <c r="V378" i="3"/>
  <c r="S378" i="3"/>
  <c r="T378" i="3" s="1"/>
  <c r="U378" i="3" s="1"/>
  <c r="R378" i="3"/>
  <c r="Q378" i="3"/>
  <c r="W377" i="3"/>
  <c r="V377" i="3"/>
  <c r="S377" i="3"/>
  <c r="R377" i="3"/>
  <c r="Q377" i="3"/>
  <c r="W376" i="3"/>
  <c r="V376" i="3"/>
  <c r="S376" i="3" s="1"/>
  <c r="T376" i="3" s="1"/>
  <c r="U376" i="3"/>
  <c r="R376" i="3"/>
  <c r="Q376" i="3"/>
  <c r="V375" i="3"/>
  <c r="S375" i="3" s="1"/>
  <c r="R375" i="3"/>
  <c r="Q375" i="3"/>
  <c r="W374" i="3"/>
  <c r="V374" i="3"/>
  <c r="S374" i="3" s="1"/>
  <c r="R374" i="3"/>
  <c r="Q374" i="3"/>
  <c r="V373" i="3"/>
  <c r="W373" i="3" s="1"/>
  <c r="R373" i="3"/>
  <c r="Q373" i="3"/>
  <c r="V372" i="3"/>
  <c r="W372" i="3" s="1"/>
  <c r="S372" i="3"/>
  <c r="T372" i="3" s="1"/>
  <c r="U372" i="3" s="1"/>
  <c r="R372" i="3"/>
  <c r="Q372" i="3"/>
  <c r="V371" i="3"/>
  <c r="R371" i="3"/>
  <c r="Q371" i="3"/>
  <c r="V370" i="3"/>
  <c r="W370" i="3" s="1"/>
  <c r="S370" i="3"/>
  <c r="R370" i="3"/>
  <c r="Q370" i="3"/>
  <c r="V369" i="3"/>
  <c r="R369" i="3"/>
  <c r="Q369" i="3"/>
  <c r="W368" i="3"/>
  <c r="V368" i="3"/>
  <c r="S368" i="3"/>
  <c r="R368" i="3"/>
  <c r="Q368" i="3"/>
  <c r="V367" i="3"/>
  <c r="W367" i="3" s="1"/>
  <c r="R367" i="3"/>
  <c r="Q367" i="3"/>
  <c r="W366" i="3"/>
  <c r="V366" i="3"/>
  <c r="S366" i="3"/>
  <c r="R366" i="3"/>
  <c r="Q366" i="3"/>
  <c r="V365" i="3"/>
  <c r="R365" i="3"/>
  <c r="Q365" i="3"/>
  <c r="W364" i="3"/>
  <c r="V364" i="3"/>
  <c r="S364" i="3"/>
  <c r="T364" i="3" s="1"/>
  <c r="U364" i="3" s="1"/>
  <c r="R364" i="3"/>
  <c r="Q364" i="3"/>
  <c r="V363" i="3"/>
  <c r="W363" i="3" s="1"/>
  <c r="R363" i="3"/>
  <c r="Q363" i="3"/>
  <c r="V362" i="3"/>
  <c r="W362" i="3" s="1"/>
  <c r="S362" i="3"/>
  <c r="R362" i="3"/>
  <c r="Q362" i="3"/>
  <c r="V361" i="3"/>
  <c r="W361" i="3" s="1"/>
  <c r="R361" i="3"/>
  <c r="Q361" i="3"/>
  <c r="V360" i="3"/>
  <c r="W360" i="3" s="1"/>
  <c r="R360" i="3"/>
  <c r="Q360" i="3"/>
  <c r="V359" i="3"/>
  <c r="W359" i="3" s="1"/>
  <c r="S359" i="3"/>
  <c r="R359" i="3"/>
  <c r="Q359" i="3"/>
  <c r="V358" i="3"/>
  <c r="S358" i="3" s="1"/>
  <c r="T358" i="3" s="1"/>
  <c r="U358" i="3"/>
  <c r="R358" i="3"/>
  <c r="Q358" i="3"/>
  <c r="V357" i="3"/>
  <c r="W357" i="3" s="1"/>
  <c r="S357" i="3"/>
  <c r="R357" i="3"/>
  <c r="Q357" i="3"/>
  <c r="V356" i="3"/>
  <c r="W356" i="3" s="1"/>
  <c r="S356" i="3"/>
  <c r="R356" i="3"/>
  <c r="Q356" i="3"/>
  <c r="W355" i="3"/>
  <c r="V355" i="3"/>
  <c r="S355" i="3"/>
  <c r="R355" i="3"/>
  <c r="Q355" i="3"/>
  <c r="W354" i="3"/>
  <c r="V354" i="3"/>
  <c r="S354" i="3"/>
  <c r="T354" i="3" s="1"/>
  <c r="U354" i="3" s="1"/>
  <c r="R354" i="3"/>
  <c r="Q354" i="3"/>
  <c r="W353" i="3"/>
  <c r="V353" i="3"/>
  <c r="S353" i="3"/>
  <c r="R353" i="3"/>
  <c r="Q353" i="3"/>
  <c r="W352" i="3"/>
  <c r="V352" i="3"/>
  <c r="S352" i="3" s="1"/>
  <c r="T352" i="3"/>
  <c r="U352" i="3" s="1"/>
  <c r="R352" i="3"/>
  <c r="Q352" i="3"/>
  <c r="V351" i="3"/>
  <c r="S351" i="3" s="1"/>
  <c r="R351" i="3"/>
  <c r="Q351" i="3"/>
  <c r="W350" i="3"/>
  <c r="V350" i="3"/>
  <c r="S350" i="3" s="1"/>
  <c r="T350" i="3"/>
  <c r="R350" i="3"/>
  <c r="Q350" i="3"/>
  <c r="V349" i="3"/>
  <c r="W349" i="3" s="1"/>
  <c r="R349" i="3"/>
  <c r="Q349" i="3"/>
  <c r="V348" i="3"/>
  <c r="W348" i="3" s="1"/>
  <c r="T348" i="3"/>
  <c r="U348" i="3" s="1"/>
  <c r="S348" i="3"/>
  <c r="R348" i="3"/>
  <c r="Q348" i="3"/>
  <c r="V347" i="3"/>
  <c r="R347" i="3"/>
  <c r="Q347" i="3"/>
  <c r="V346" i="3"/>
  <c r="W346" i="3" s="1"/>
  <c r="S346" i="3"/>
  <c r="R346" i="3"/>
  <c r="Q346" i="3"/>
  <c r="V345" i="3"/>
  <c r="R345" i="3"/>
  <c r="Q345" i="3"/>
  <c r="W344" i="3"/>
  <c r="V344" i="3"/>
  <c r="S344" i="3"/>
  <c r="R344" i="3"/>
  <c r="Q344" i="3"/>
  <c r="V343" i="3"/>
  <c r="W343" i="3" s="1"/>
  <c r="R343" i="3"/>
  <c r="Q343" i="3"/>
  <c r="W342" i="3"/>
  <c r="V342" i="3"/>
  <c r="S342" i="3"/>
  <c r="R342" i="3"/>
  <c r="Q342" i="3"/>
  <c r="V341" i="3"/>
  <c r="R341" i="3"/>
  <c r="Q341" i="3"/>
  <c r="W340" i="3"/>
  <c r="V340" i="3"/>
  <c r="S340" i="3"/>
  <c r="T340" i="3" s="1"/>
  <c r="U340" i="3" s="1"/>
  <c r="R340" i="3"/>
  <c r="Q340" i="3"/>
  <c r="V339" i="3"/>
  <c r="W339" i="3" s="1"/>
  <c r="R339" i="3"/>
  <c r="Q339" i="3"/>
  <c r="V338" i="3"/>
  <c r="W338" i="3" s="1"/>
  <c r="S338" i="3"/>
  <c r="R338" i="3"/>
  <c r="Q338" i="3"/>
  <c r="V337" i="3"/>
  <c r="W337" i="3" s="1"/>
  <c r="R337" i="3"/>
  <c r="Q337" i="3"/>
  <c r="V336" i="3"/>
  <c r="R336" i="3"/>
  <c r="Q336" i="3"/>
  <c r="V335" i="3"/>
  <c r="W335" i="3" s="1"/>
  <c r="S335" i="3"/>
  <c r="R335" i="3"/>
  <c r="Q335" i="3"/>
  <c r="W334" i="3"/>
  <c r="V334" i="3"/>
  <c r="S334" i="3" s="1"/>
  <c r="T334" i="3" s="1"/>
  <c r="U334" i="3"/>
  <c r="R334" i="3"/>
  <c r="Q334" i="3"/>
  <c r="V333" i="3"/>
  <c r="W333" i="3" s="1"/>
  <c r="S333" i="3"/>
  <c r="R333" i="3"/>
  <c r="Q333" i="3"/>
  <c r="V332" i="3"/>
  <c r="W332" i="3" s="1"/>
  <c r="S332" i="3"/>
  <c r="R332" i="3"/>
  <c r="Q332" i="3"/>
  <c r="W331" i="3"/>
  <c r="V331" i="3"/>
  <c r="S331" i="3"/>
  <c r="R331" i="3"/>
  <c r="Q331" i="3"/>
  <c r="W330" i="3"/>
  <c r="V330" i="3"/>
  <c r="S330" i="3"/>
  <c r="T330" i="3" s="1"/>
  <c r="U330" i="3" s="1"/>
  <c r="R330" i="3"/>
  <c r="Q330" i="3"/>
  <c r="W329" i="3"/>
  <c r="V329" i="3"/>
  <c r="S329" i="3"/>
  <c r="R329" i="3"/>
  <c r="Q329" i="3"/>
  <c r="W328" i="3"/>
  <c r="V328" i="3"/>
  <c r="S328" i="3" s="1"/>
  <c r="T328" i="3"/>
  <c r="U328" i="3" s="1"/>
  <c r="R328" i="3"/>
  <c r="Q328" i="3"/>
  <c r="V327" i="3"/>
  <c r="S327" i="3" s="1"/>
  <c r="R327" i="3"/>
  <c r="Q327" i="3"/>
  <c r="W326" i="3"/>
  <c r="V326" i="3"/>
  <c r="S326" i="3" s="1"/>
  <c r="T326" i="3"/>
  <c r="R326" i="3"/>
  <c r="Q326" i="3"/>
  <c r="V325" i="3"/>
  <c r="W325" i="3" s="1"/>
  <c r="R325" i="3"/>
  <c r="Q325" i="3"/>
  <c r="V324" i="3"/>
  <c r="W324" i="3" s="1"/>
  <c r="S324" i="3"/>
  <c r="R324" i="3"/>
  <c r="Q324" i="3"/>
  <c r="V323" i="3"/>
  <c r="R323" i="3"/>
  <c r="Q323" i="3"/>
  <c r="V322" i="3"/>
  <c r="W322" i="3" s="1"/>
  <c r="S322" i="3"/>
  <c r="R322" i="3"/>
  <c r="Q322" i="3"/>
  <c r="V321" i="3"/>
  <c r="R321" i="3"/>
  <c r="Q321" i="3"/>
  <c r="W320" i="3"/>
  <c r="V320" i="3"/>
  <c r="S320" i="3"/>
  <c r="R320" i="3"/>
  <c r="Q320" i="3"/>
  <c r="V319" i="3"/>
  <c r="W319" i="3" s="1"/>
  <c r="R319" i="3"/>
  <c r="Q319" i="3"/>
  <c r="W318" i="3"/>
  <c r="V318" i="3"/>
  <c r="S318" i="3"/>
  <c r="R318" i="3"/>
  <c r="Q318" i="3"/>
  <c r="V317" i="3"/>
  <c r="R317" i="3"/>
  <c r="Q317" i="3"/>
  <c r="W316" i="3"/>
  <c r="V316" i="3"/>
  <c r="S316" i="3"/>
  <c r="T316" i="3" s="1"/>
  <c r="U316" i="3" s="1"/>
  <c r="R316" i="3"/>
  <c r="Q316" i="3"/>
  <c r="V315" i="3"/>
  <c r="W315" i="3" s="1"/>
  <c r="R315" i="3"/>
  <c r="Q315" i="3"/>
  <c r="V314" i="3"/>
  <c r="W314" i="3" s="1"/>
  <c r="S314" i="3"/>
  <c r="R314" i="3"/>
  <c r="Q314" i="3"/>
  <c r="V313" i="3"/>
  <c r="W313" i="3" s="1"/>
  <c r="R313" i="3"/>
  <c r="Q313" i="3"/>
  <c r="V312" i="3"/>
  <c r="R312" i="3"/>
  <c r="Q312" i="3"/>
  <c r="V311" i="3"/>
  <c r="W311" i="3" s="1"/>
  <c r="T311" i="3"/>
  <c r="S311" i="3"/>
  <c r="R311" i="3"/>
  <c r="Q311" i="3"/>
  <c r="W310" i="3"/>
  <c r="V310" i="3"/>
  <c r="S310" i="3" s="1"/>
  <c r="T310" i="3" s="1"/>
  <c r="R310" i="3"/>
  <c r="Q310" i="3"/>
  <c r="V309" i="3"/>
  <c r="W309" i="3" s="1"/>
  <c r="S309" i="3"/>
  <c r="R309" i="3"/>
  <c r="Q309" i="3"/>
  <c r="V308" i="3"/>
  <c r="W308" i="3" s="1"/>
  <c r="S308" i="3"/>
  <c r="R308" i="3"/>
  <c r="Q308" i="3"/>
  <c r="W307" i="3"/>
  <c r="V307" i="3"/>
  <c r="S307" i="3"/>
  <c r="R307" i="3"/>
  <c r="Q307" i="3"/>
  <c r="W306" i="3"/>
  <c r="V306" i="3"/>
  <c r="S306" i="3"/>
  <c r="T306" i="3" s="1"/>
  <c r="U306" i="3" s="1"/>
  <c r="R306" i="3"/>
  <c r="Q306" i="3"/>
  <c r="W305" i="3"/>
  <c r="V305" i="3"/>
  <c r="S305" i="3"/>
  <c r="R305" i="3"/>
  <c r="Q305" i="3"/>
  <c r="W304" i="3"/>
  <c r="V304" i="3"/>
  <c r="S304" i="3" s="1"/>
  <c r="T304" i="3"/>
  <c r="U304" i="3" s="1"/>
  <c r="R304" i="3"/>
  <c r="Q304" i="3"/>
  <c r="V303" i="3"/>
  <c r="S303" i="3" s="1"/>
  <c r="R303" i="3"/>
  <c r="Q303" i="3"/>
  <c r="W302" i="3"/>
  <c r="V302" i="3"/>
  <c r="S302" i="3" s="1"/>
  <c r="T302" i="3"/>
  <c r="R302" i="3"/>
  <c r="Q302" i="3"/>
  <c r="V301" i="3"/>
  <c r="W301" i="3" s="1"/>
  <c r="R301" i="3"/>
  <c r="Q301" i="3"/>
  <c r="V300" i="3"/>
  <c r="W300" i="3" s="1"/>
  <c r="S300" i="3"/>
  <c r="R300" i="3"/>
  <c r="Q300" i="3"/>
  <c r="V299" i="3"/>
  <c r="R299" i="3"/>
  <c r="Q299" i="3"/>
  <c r="V298" i="3"/>
  <c r="W298" i="3" s="1"/>
  <c r="S298" i="3"/>
  <c r="R298" i="3"/>
  <c r="Q298" i="3"/>
  <c r="V297" i="3"/>
  <c r="R297" i="3"/>
  <c r="Q297" i="3"/>
  <c r="W296" i="3"/>
  <c r="V296" i="3"/>
  <c r="S296" i="3"/>
  <c r="R296" i="3"/>
  <c r="Q296" i="3"/>
  <c r="V295" i="3"/>
  <c r="W295" i="3" s="1"/>
  <c r="R295" i="3"/>
  <c r="Q295" i="3"/>
  <c r="W294" i="3"/>
  <c r="V294" i="3"/>
  <c r="S294" i="3"/>
  <c r="R294" i="3"/>
  <c r="Q294" i="3"/>
  <c r="V293" i="3"/>
  <c r="R293" i="3"/>
  <c r="Q293" i="3"/>
  <c r="W292" i="3"/>
  <c r="V292" i="3"/>
  <c r="S292" i="3"/>
  <c r="T292" i="3" s="1"/>
  <c r="U292" i="3" s="1"/>
  <c r="R292" i="3"/>
  <c r="Q292" i="3"/>
  <c r="V291" i="3"/>
  <c r="W291" i="3" s="1"/>
  <c r="R291" i="3"/>
  <c r="Q291" i="3"/>
  <c r="W290" i="3"/>
  <c r="V290" i="3"/>
  <c r="S290" i="3"/>
  <c r="R290" i="3"/>
  <c r="Q290" i="3"/>
  <c r="V289" i="3"/>
  <c r="W289" i="3" s="1"/>
  <c r="R289" i="3"/>
  <c r="Q289" i="3"/>
  <c r="V288" i="3"/>
  <c r="R288" i="3"/>
  <c r="Q288" i="3"/>
  <c r="V287" i="3"/>
  <c r="W287" i="3" s="1"/>
  <c r="S287" i="3"/>
  <c r="R287" i="3"/>
  <c r="Q287" i="3"/>
  <c r="V286" i="3"/>
  <c r="S286" i="3" s="1"/>
  <c r="T286" i="3" s="1"/>
  <c r="U286" i="3"/>
  <c r="R286" i="3"/>
  <c r="Q286" i="3"/>
  <c r="V285" i="3"/>
  <c r="W285" i="3" s="1"/>
  <c r="S285" i="3"/>
  <c r="R285" i="3"/>
  <c r="Q285" i="3"/>
  <c r="V284" i="3"/>
  <c r="W284" i="3" s="1"/>
  <c r="S284" i="3"/>
  <c r="R284" i="3"/>
  <c r="Q284" i="3"/>
  <c r="W283" i="3"/>
  <c r="V283" i="3"/>
  <c r="S283" i="3"/>
  <c r="R283" i="3"/>
  <c r="Q283" i="3"/>
  <c r="W282" i="3"/>
  <c r="V282" i="3"/>
  <c r="S282" i="3"/>
  <c r="T282" i="3" s="1"/>
  <c r="U282" i="3" s="1"/>
  <c r="R282" i="3"/>
  <c r="Q282" i="3"/>
  <c r="W281" i="3"/>
  <c r="V281" i="3"/>
  <c r="S281" i="3"/>
  <c r="R281" i="3"/>
  <c r="Q281" i="3"/>
  <c r="W280" i="3"/>
  <c r="V280" i="3"/>
  <c r="S280" i="3" s="1"/>
  <c r="R280" i="3"/>
  <c r="Q280" i="3"/>
  <c r="W279" i="3"/>
  <c r="V279" i="3"/>
  <c r="S279" i="3" s="1"/>
  <c r="R279" i="3"/>
  <c r="Q279" i="3"/>
  <c r="W278" i="3"/>
  <c r="V278" i="3"/>
  <c r="S278" i="3" s="1"/>
  <c r="T278" i="3"/>
  <c r="R278" i="3"/>
  <c r="Q278" i="3"/>
  <c r="V277" i="3"/>
  <c r="W277" i="3" s="1"/>
  <c r="R277" i="3"/>
  <c r="Q277" i="3"/>
  <c r="V276" i="3"/>
  <c r="W276" i="3" s="1"/>
  <c r="S276" i="3"/>
  <c r="R276" i="3"/>
  <c r="Q276" i="3"/>
  <c r="V275" i="3"/>
  <c r="R275" i="3"/>
  <c r="Q275" i="3"/>
  <c r="V274" i="3"/>
  <c r="W274" i="3" s="1"/>
  <c r="S274" i="3"/>
  <c r="R274" i="3"/>
  <c r="Q274" i="3"/>
  <c r="V273" i="3"/>
  <c r="R273" i="3"/>
  <c r="Q273" i="3"/>
  <c r="W272" i="3"/>
  <c r="V272" i="3"/>
  <c r="S272" i="3"/>
  <c r="R272" i="3"/>
  <c r="Q272" i="3"/>
  <c r="V271" i="3"/>
  <c r="W271" i="3" s="1"/>
  <c r="R271" i="3"/>
  <c r="Q271" i="3"/>
  <c r="W270" i="3"/>
  <c r="V270" i="3"/>
  <c r="S270" i="3"/>
  <c r="R270" i="3"/>
  <c r="Q270" i="3"/>
  <c r="V269" i="3"/>
  <c r="R269" i="3"/>
  <c r="Q269" i="3"/>
  <c r="W268" i="3"/>
  <c r="V268" i="3"/>
  <c r="S268" i="3"/>
  <c r="T268" i="3" s="1"/>
  <c r="U268" i="3" s="1"/>
  <c r="R268" i="3"/>
  <c r="Q268" i="3"/>
  <c r="V267" i="3"/>
  <c r="W267" i="3" s="1"/>
  <c r="R267" i="3"/>
  <c r="Q267" i="3"/>
  <c r="V266" i="3"/>
  <c r="W266" i="3" s="1"/>
  <c r="S266" i="3"/>
  <c r="R266" i="3"/>
  <c r="Q266" i="3"/>
  <c r="V265" i="3"/>
  <c r="W265" i="3" s="1"/>
  <c r="R265" i="3"/>
  <c r="Q265" i="3"/>
  <c r="V264" i="3"/>
  <c r="R264" i="3"/>
  <c r="Q264" i="3"/>
  <c r="V263" i="3"/>
  <c r="W263" i="3" s="1"/>
  <c r="S263" i="3"/>
  <c r="R263" i="3"/>
  <c r="Q263" i="3"/>
  <c r="V262" i="3"/>
  <c r="S262" i="3" s="1"/>
  <c r="T262" i="3" s="1"/>
  <c r="R262" i="3"/>
  <c r="Q262" i="3"/>
  <c r="V261" i="3"/>
  <c r="W261" i="3" s="1"/>
  <c r="S261" i="3"/>
  <c r="R261" i="3"/>
  <c r="Q261" i="3"/>
  <c r="V260" i="3"/>
  <c r="W260" i="3" s="1"/>
  <c r="S260" i="3"/>
  <c r="R260" i="3"/>
  <c r="Q260" i="3"/>
  <c r="W259" i="3"/>
  <c r="V259" i="3"/>
  <c r="S259" i="3"/>
  <c r="R259" i="3"/>
  <c r="Q259" i="3"/>
  <c r="W258" i="3"/>
  <c r="V258" i="3"/>
  <c r="S258" i="3"/>
  <c r="T258" i="3" s="1"/>
  <c r="U258" i="3" s="1"/>
  <c r="R258" i="3"/>
  <c r="Q258" i="3"/>
  <c r="W257" i="3"/>
  <c r="V257" i="3"/>
  <c r="S257" i="3"/>
  <c r="R257" i="3"/>
  <c r="Q257" i="3"/>
  <c r="W256" i="3"/>
  <c r="V256" i="3"/>
  <c r="S256" i="3" s="1"/>
  <c r="T256" i="3"/>
  <c r="U256" i="3" s="1"/>
  <c r="R256" i="3"/>
  <c r="Q256" i="3"/>
  <c r="V255" i="3"/>
  <c r="S255" i="3" s="1"/>
  <c r="R255" i="3"/>
  <c r="Q255" i="3"/>
  <c r="W254" i="3"/>
  <c r="V254" i="3"/>
  <c r="S254" i="3" s="1"/>
  <c r="T254" i="3"/>
  <c r="R254" i="3"/>
  <c r="Q254" i="3"/>
  <c r="V253" i="3"/>
  <c r="W253" i="3" s="1"/>
  <c r="R253" i="3"/>
  <c r="Q253" i="3"/>
  <c r="V252" i="3"/>
  <c r="W252" i="3" s="1"/>
  <c r="S252" i="3"/>
  <c r="R252" i="3"/>
  <c r="Q252" i="3"/>
  <c r="V251" i="3"/>
  <c r="R251" i="3"/>
  <c r="Q251" i="3"/>
  <c r="V250" i="3"/>
  <c r="W250" i="3" s="1"/>
  <c r="S250" i="3"/>
  <c r="R250" i="3"/>
  <c r="Q250" i="3"/>
  <c r="V249" i="3"/>
  <c r="R249" i="3"/>
  <c r="Q249" i="3"/>
  <c r="W248" i="3"/>
  <c r="V248" i="3"/>
  <c r="S248" i="3"/>
  <c r="R248" i="3"/>
  <c r="Q248" i="3"/>
  <c r="V247" i="3"/>
  <c r="W247" i="3" s="1"/>
  <c r="R247" i="3"/>
  <c r="Q247" i="3"/>
  <c r="W246" i="3"/>
  <c r="V246" i="3"/>
  <c r="S246" i="3"/>
  <c r="R246" i="3"/>
  <c r="Q246" i="3"/>
  <c r="V245" i="3"/>
  <c r="R245" i="3"/>
  <c r="Q245" i="3"/>
  <c r="W244" i="3"/>
  <c r="V244" i="3"/>
  <c r="S244" i="3"/>
  <c r="T244" i="3" s="1"/>
  <c r="U244" i="3" s="1"/>
  <c r="R244" i="3"/>
  <c r="Q244" i="3"/>
  <c r="V243" i="3"/>
  <c r="W243" i="3" s="1"/>
  <c r="R243" i="3"/>
  <c r="Q243" i="3"/>
  <c r="V242" i="3"/>
  <c r="W242" i="3" s="1"/>
  <c r="S242" i="3"/>
  <c r="R242" i="3"/>
  <c r="Q242" i="3"/>
  <c r="V241" i="3"/>
  <c r="W241" i="3" s="1"/>
  <c r="R241" i="3"/>
  <c r="Q241" i="3"/>
  <c r="V240" i="3"/>
  <c r="R240" i="3"/>
  <c r="Q240" i="3"/>
  <c r="V239" i="3"/>
  <c r="W239" i="3" s="1"/>
  <c r="T239" i="3"/>
  <c r="S239" i="3"/>
  <c r="R239" i="3"/>
  <c r="Q239" i="3"/>
  <c r="V238" i="3"/>
  <c r="S238" i="3" s="1"/>
  <c r="T238" i="3" s="1"/>
  <c r="R238" i="3"/>
  <c r="Q238" i="3"/>
  <c r="V237" i="3"/>
  <c r="W237" i="3" s="1"/>
  <c r="S237" i="3"/>
  <c r="R237" i="3"/>
  <c r="Q237" i="3"/>
  <c r="V236" i="3"/>
  <c r="W236" i="3" s="1"/>
  <c r="S236" i="3"/>
  <c r="R236" i="3"/>
  <c r="Q236" i="3"/>
  <c r="W235" i="3"/>
  <c r="V235" i="3"/>
  <c r="S235" i="3"/>
  <c r="R235" i="3"/>
  <c r="Q235" i="3"/>
  <c r="W234" i="3"/>
  <c r="V234" i="3"/>
  <c r="S234" i="3"/>
  <c r="T234" i="3" s="1"/>
  <c r="U234" i="3" s="1"/>
  <c r="R234" i="3"/>
  <c r="Q234" i="3"/>
  <c r="W233" i="3"/>
  <c r="V233" i="3"/>
  <c r="S233" i="3"/>
  <c r="R233" i="3"/>
  <c r="Q233" i="3"/>
  <c r="W232" i="3"/>
  <c r="V232" i="3"/>
  <c r="S232" i="3" s="1"/>
  <c r="T232" i="3"/>
  <c r="U232" i="3" s="1"/>
  <c r="R232" i="3"/>
  <c r="Q232" i="3"/>
  <c r="W231" i="3"/>
  <c r="V231" i="3"/>
  <c r="S231" i="3" s="1"/>
  <c r="R231" i="3"/>
  <c r="Q231" i="3"/>
  <c r="W230" i="3"/>
  <c r="V230" i="3"/>
  <c r="S230" i="3" s="1"/>
  <c r="T230" i="3"/>
  <c r="R230" i="3"/>
  <c r="Q230" i="3"/>
  <c r="V229" i="3"/>
  <c r="W229" i="3" s="1"/>
  <c r="R229" i="3"/>
  <c r="Q229" i="3"/>
  <c r="V228" i="3"/>
  <c r="W228" i="3" s="1"/>
  <c r="S228" i="3"/>
  <c r="R228" i="3"/>
  <c r="Q228" i="3"/>
  <c r="V227" i="3"/>
  <c r="R227" i="3"/>
  <c r="Q227" i="3"/>
  <c r="V226" i="3"/>
  <c r="W226" i="3" s="1"/>
  <c r="S226" i="3"/>
  <c r="R226" i="3"/>
  <c r="Q226" i="3"/>
  <c r="V225" i="3"/>
  <c r="R225" i="3"/>
  <c r="Q225" i="3"/>
  <c r="W224" i="3"/>
  <c r="V224" i="3"/>
  <c r="S224" i="3"/>
  <c r="R224" i="3"/>
  <c r="Q224" i="3"/>
  <c r="V223" i="3"/>
  <c r="W223" i="3" s="1"/>
  <c r="R223" i="3"/>
  <c r="Q223" i="3"/>
  <c r="W222" i="3"/>
  <c r="V222" i="3"/>
  <c r="S222" i="3"/>
  <c r="R222" i="3"/>
  <c r="E24" i="2" s="1"/>
  <c r="F24" i="2" s="1"/>
  <c r="Q222" i="3"/>
  <c r="V221" i="3"/>
  <c r="R221" i="3"/>
  <c r="Q221" i="3"/>
  <c r="W220" i="3"/>
  <c r="V220" i="3"/>
  <c r="S220" i="3"/>
  <c r="T220" i="3" s="1"/>
  <c r="U220" i="3" s="1"/>
  <c r="R220" i="3"/>
  <c r="Q220" i="3"/>
  <c r="V219" i="3"/>
  <c r="W219" i="3" s="1"/>
  <c r="R219" i="3"/>
  <c r="Q219" i="3"/>
  <c r="W218" i="3"/>
  <c r="V218" i="3"/>
  <c r="S218" i="3"/>
  <c r="R218" i="3"/>
  <c r="Q218" i="3"/>
  <c r="V217" i="3"/>
  <c r="W217" i="3" s="1"/>
  <c r="R217" i="3"/>
  <c r="Q217" i="3"/>
  <c r="V216" i="3"/>
  <c r="R216" i="3"/>
  <c r="Q216" i="3"/>
  <c r="V215" i="3"/>
  <c r="W215" i="3" s="1"/>
  <c r="T215" i="3"/>
  <c r="S215" i="3"/>
  <c r="R215" i="3"/>
  <c r="Q215" i="3"/>
  <c r="V214" i="3"/>
  <c r="S214" i="3" s="1"/>
  <c r="T214" i="3" s="1"/>
  <c r="U214" i="3"/>
  <c r="R214" i="3"/>
  <c r="Q214" i="3"/>
  <c r="V213" i="3"/>
  <c r="W213" i="3" s="1"/>
  <c r="S213" i="3"/>
  <c r="R213" i="3"/>
  <c r="Q213" i="3"/>
  <c r="V212" i="3"/>
  <c r="W212" i="3" s="1"/>
  <c r="S212" i="3"/>
  <c r="R212" i="3"/>
  <c r="Q212" i="3"/>
  <c r="W211" i="3"/>
  <c r="V211" i="3"/>
  <c r="S211" i="3"/>
  <c r="R211" i="3"/>
  <c r="Q211" i="3"/>
  <c r="W210" i="3"/>
  <c r="V210" i="3"/>
  <c r="U210" i="3"/>
  <c r="S210" i="3"/>
  <c r="T210" i="3" s="1"/>
  <c r="R210" i="3"/>
  <c r="Q210" i="3"/>
  <c r="W209" i="3"/>
  <c r="V209" i="3"/>
  <c r="S209" i="3"/>
  <c r="R209" i="3"/>
  <c r="Q209" i="3"/>
  <c r="W208" i="3"/>
  <c r="V208" i="3"/>
  <c r="S208" i="3" s="1"/>
  <c r="R208" i="3"/>
  <c r="Q208" i="3"/>
  <c r="W207" i="3"/>
  <c r="V207" i="3"/>
  <c r="S207" i="3" s="1"/>
  <c r="R207" i="3"/>
  <c r="Q207" i="3"/>
  <c r="W206" i="3"/>
  <c r="V206" i="3"/>
  <c r="S206" i="3" s="1"/>
  <c r="T206" i="3"/>
  <c r="R206" i="3"/>
  <c r="Q206" i="3"/>
  <c r="V205" i="3"/>
  <c r="W205" i="3" s="1"/>
  <c r="R205" i="3"/>
  <c r="Q205" i="3"/>
  <c r="V204" i="3"/>
  <c r="W204" i="3" s="1"/>
  <c r="S204" i="3"/>
  <c r="R204" i="3"/>
  <c r="Q204" i="3"/>
  <c r="V203" i="3"/>
  <c r="R203" i="3"/>
  <c r="Q203" i="3"/>
  <c r="V202" i="3"/>
  <c r="W202" i="3" s="1"/>
  <c r="S202" i="3"/>
  <c r="R202" i="3"/>
  <c r="Q202" i="3"/>
  <c r="V201" i="3"/>
  <c r="R201" i="3"/>
  <c r="Q201" i="3"/>
  <c r="W200" i="3"/>
  <c r="V200" i="3"/>
  <c r="S200" i="3"/>
  <c r="R200" i="3"/>
  <c r="Q200" i="3"/>
  <c r="V199" i="3"/>
  <c r="W199" i="3" s="1"/>
  <c r="R199" i="3"/>
  <c r="Q199" i="3"/>
  <c r="W198" i="3"/>
  <c r="V198" i="3"/>
  <c r="S198" i="3"/>
  <c r="R198" i="3"/>
  <c r="Q198" i="3"/>
  <c r="V197" i="3"/>
  <c r="R197" i="3"/>
  <c r="Q197" i="3"/>
  <c r="W196" i="3"/>
  <c r="V196" i="3"/>
  <c r="S196" i="3"/>
  <c r="T196" i="3" s="1"/>
  <c r="U196" i="3" s="1"/>
  <c r="R196" i="3"/>
  <c r="Q196" i="3"/>
  <c r="V195" i="3"/>
  <c r="W195" i="3" s="1"/>
  <c r="R195" i="3"/>
  <c r="Q195" i="3"/>
  <c r="W194" i="3"/>
  <c r="V194" i="3"/>
  <c r="S194" i="3" s="1"/>
  <c r="R194" i="3"/>
  <c r="Q194" i="3"/>
  <c r="V193" i="3"/>
  <c r="W193" i="3" s="1"/>
  <c r="R193" i="3"/>
  <c r="Q193" i="3"/>
  <c r="V192" i="3"/>
  <c r="R192" i="3"/>
  <c r="Q192" i="3"/>
  <c r="V191" i="3"/>
  <c r="W191" i="3" s="1"/>
  <c r="S191" i="3"/>
  <c r="R191" i="3"/>
  <c r="Q191" i="3"/>
  <c r="V190" i="3"/>
  <c r="S190" i="3" s="1"/>
  <c r="T190" i="3" s="1"/>
  <c r="U190" i="3"/>
  <c r="R190" i="3"/>
  <c r="Q190" i="3"/>
  <c r="V189" i="3"/>
  <c r="W189" i="3" s="1"/>
  <c r="S189" i="3"/>
  <c r="R189" i="3"/>
  <c r="Q189" i="3"/>
  <c r="V188" i="3"/>
  <c r="W188" i="3" s="1"/>
  <c r="S188" i="3"/>
  <c r="R188" i="3"/>
  <c r="Q188" i="3"/>
  <c r="W187" i="3"/>
  <c r="V187" i="3"/>
  <c r="S187" i="3"/>
  <c r="R187" i="3"/>
  <c r="Q187" i="3"/>
  <c r="W186" i="3"/>
  <c r="V186" i="3"/>
  <c r="S186" i="3"/>
  <c r="T186" i="3" s="1"/>
  <c r="U186" i="3" s="1"/>
  <c r="R186" i="3"/>
  <c r="Q186" i="3"/>
  <c r="W185" i="3"/>
  <c r="V185" i="3"/>
  <c r="S185" i="3"/>
  <c r="R185" i="3"/>
  <c r="Q185" i="3"/>
  <c r="W184" i="3"/>
  <c r="V184" i="3"/>
  <c r="S184" i="3" s="1"/>
  <c r="R184" i="3"/>
  <c r="Q184" i="3"/>
  <c r="V183" i="3"/>
  <c r="S183" i="3" s="1"/>
  <c r="R183" i="3"/>
  <c r="Q183" i="3"/>
  <c r="W182" i="3"/>
  <c r="V182" i="3"/>
  <c r="S182" i="3" s="1"/>
  <c r="T182" i="3"/>
  <c r="R182" i="3"/>
  <c r="Q182" i="3"/>
  <c r="V181" i="3"/>
  <c r="W181" i="3" s="1"/>
  <c r="R181" i="3"/>
  <c r="Q181" i="3"/>
  <c r="V180" i="3"/>
  <c r="W180" i="3" s="1"/>
  <c r="S180" i="3"/>
  <c r="R180" i="3"/>
  <c r="Q180" i="3"/>
  <c r="V179" i="3"/>
  <c r="R179" i="3"/>
  <c r="Q179" i="3"/>
  <c r="V178" i="3"/>
  <c r="W178" i="3" s="1"/>
  <c r="S178" i="3"/>
  <c r="R178" i="3"/>
  <c r="Q178" i="3"/>
  <c r="V177" i="3"/>
  <c r="R177" i="3"/>
  <c r="Q177" i="3"/>
  <c r="W176" i="3"/>
  <c r="V176" i="3"/>
  <c r="S176" i="3"/>
  <c r="R176" i="3"/>
  <c r="Q176" i="3"/>
  <c r="V175" i="3"/>
  <c r="W175" i="3" s="1"/>
  <c r="R175" i="3"/>
  <c r="Q175" i="3"/>
  <c r="W174" i="3"/>
  <c r="V174" i="3"/>
  <c r="S174" i="3"/>
  <c r="R174" i="3"/>
  <c r="Q174" i="3"/>
  <c r="V173" i="3"/>
  <c r="R173" i="3"/>
  <c r="Q173" i="3"/>
  <c r="W172" i="3"/>
  <c r="V172" i="3"/>
  <c r="S172" i="3"/>
  <c r="T172" i="3" s="1"/>
  <c r="U172" i="3" s="1"/>
  <c r="R172" i="3"/>
  <c r="Q172" i="3"/>
  <c r="V171" i="3"/>
  <c r="W171" i="3" s="1"/>
  <c r="R171" i="3"/>
  <c r="Q171" i="3"/>
  <c r="V170" i="3"/>
  <c r="W170" i="3" s="1"/>
  <c r="S170" i="3"/>
  <c r="R170" i="3"/>
  <c r="Q170" i="3"/>
  <c r="V169" i="3"/>
  <c r="W169" i="3" s="1"/>
  <c r="R169" i="3"/>
  <c r="Q169" i="3"/>
  <c r="V168" i="3"/>
  <c r="R168" i="3"/>
  <c r="Q168" i="3"/>
  <c r="V167" i="3"/>
  <c r="W167" i="3" s="1"/>
  <c r="S167" i="3"/>
  <c r="R167" i="3"/>
  <c r="Q167" i="3"/>
  <c r="V166" i="3"/>
  <c r="S166" i="3" s="1"/>
  <c r="T166" i="3" s="1"/>
  <c r="U166" i="3"/>
  <c r="R166" i="3"/>
  <c r="Q166" i="3"/>
  <c r="V165" i="3"/>
  <c r="W165" i="3" s="1"/>
  <c r="S165" i="3"/>
  <c r="R165" i="3"/>
  <c r="Q165" i="3"/>
  <c r="V164" i="3"/>
  <c r="W164" i="3" s="1"/>
  <c r="S164" i="3"/>
  <c r="R164" i="3"/>
  <c r="Q164" i="3"/>
  <c r="W163" i="3"/>
  <c r="V163" i="3"/>
  <c r="S163" i="3"/>
  <c r="R163" i="3"/>
  <c r="Q163" i="3"/>
  <c r="W162" i="3"/>
  <c r="V162" i="3"/>
  <c r="U162" i="3"/>
  <c r="S162" i="3"/>
  <c r="T162" i="3" s="1"/>
  <c r="R162" i="3"/>
  <c r="Q162" i="3"/>
  <c r="W161" i="3"/>
  <c r="V161" i="3"/>
  <c r="S161" i="3"/>
  <c r="R161" i="3"/>
  <c r="Q161" i="3"/>
  <c r="W160" i="3"/>
  <c r="V160" i="3"/>
  <c r="S160" i="3" s="1"/>
  <c r="T160" i="3"/>
  <c r="U160" i="3" s="1"/>
  <c r="R160" i="3"/>
  <c r="Q160" i="3"/>
  <c r="V159" i="3"/>
  <c r="S159" i="3" s="1"/>
  <c r="R159" i="3"/>
  <c r="Q159" i="3"/>
  <c r="W158" i="3"/>
  <c r="V158" i="3"/>
  <c r="S158" i="3" s="1"/>
  <c r="T158" i="3"/>
  <c r="R158" i="3"/>
  <c r="Q158" i="3"/>
  <c r="V157" i="3"/>
  <c r="W157" i="3" s="1"/>
  <c r="R157" i="3"/>
  <c r="Q157" i="3"/>
  <c r="V156" i="3"/>
  <c r="W156" i="3" s="1"/>
  <c r="S156" i="3"/>
  <c r="R156" i="3"/>
  <c r="Q156" i="3"/>
  <c r="V155" i="3"/>
  <c r="R155" i="3"/>
  <c r="Q155" i="3"/>
  <c r="V154" i="3"/>
  <c r="W154" i="3" s="1"/>
  <c r="S154" i="3"/>
  <c r="R154" i="3"/>
  <c r="Q154" i="3"/>
  <c r="V153" i="3"/>
  <c r="R153" i="3"/>
  <c r="Q153" i="3"/>
  <c r="W152" i="3"/>
  <c r="V152" i="3"/>
  <c r="S152" i="3"/>
  <c r="R152" i="3"/>
  <c r="Q152" i="3"/>
  <c r="V151" i="3"/>
  <c r="W151" i="3" s="1"/>
  <c r="R151" i="3"/>
  <c r="Q151" i="3"/>
  <c r="W150" i="3"/>
  <c r="V150" i="3"/>
  <c r="S150" i="3"/>
  <c r="R150" i="3"/>
  <c r="Q150" i="3"/>
  <c r="V149" i="3"/>
  <c r="R149" i="3"/>
  <c r="Q149" i="3"/>
  <c r="W148" i="3"/>
  <c r="V148" i="3"/>
  <c r="S148" i="3"/>
  <c r="T148" i="3" s="1"/>
  <c r="U148" i="3" s="1"/>
  <c r="R148" i="3"/>
  <c r="Q148" i="3"/>
  <c r="V147" i="3"/>
  <c r="W147" i="3" s="1"/>
  <c r="R147" i="3"/>
  <c r="Q147" i="3"/>
  <c r="V146" i="3"/>
  <c r="W146" i="3" s="1"/>
  <c r="R146" i="3"/>
  <c r="Q146" i="3"/>
  <c r="V145" i="3"/>
  <c r="W145" i="3" s="1"/>
  <c r="R145" i="3"/>
  <c r="Q145" i="3"/>
  <c r="V144" i="3"/>
  <c r="R144" i="3"/>
  <c r="Q144" i="3"/>
  <c r="V143" i="3"/>
  <c r="W143" i="3" s="1"/>
  <c r="S143" i="3"/>
  <c r="R143" i="3"/>
  <c r="Q143" i="3"/>
  <c r="V142" i="3"/>
  <c r="S142" i="3" s="1"/>
  <c r="T142" i="3" s="1"/>
  <c r="R142" i="3"/>
  <c r="Q142" i="3"/>
  <c r="V141" i="3"/>
  <c r="W141" i="3" s="1"/>
  <c r="S141" i="3"/>
  <c r="R141" i="3"/>
  <c r="Q141" i="3"/>
  <c r="V140" i="3"/>
  <c r="W140" i="3" s="1"/>
  <c r="S140" i="3"/>
  <c r="R140" i="3"/>
  <c r="Q140" i="3"/>
  <c r="W139" i="3"/>
  <c r="V139" i="3"/>
  <c r="S139" i="3"/>
  <c r="R139" i="3"/>
  <c r="Q139" i="3"/>
  <c r="W138" i="3"/>
  <c r="V138" i="3"/>
  <c r="U138" i="3"/>
  <c r="S138" i="3"/>
  <c r="T138" i="3" s="1"/>
  <c r="R138" i="3"/>
  <c r="Q138" i="3"/>
  <c r="W137" i="3"/>
  <c r="V137" i="3"/>
  <c r="S137" i="3"/>
  <c r="R137" i="3"/>
  <c r="Q137" i="3"/>
  <c r="W136" i="3"/>
  <c r="V136" i="3"/>
  <c r="S136" i="3" s="1"/>
  <c r="U136" i="3"/>
  <c r="T136" i="3"/>
  <c r="R136" i="3"/>
  <c r="Q136" i="3"/>
  <c r="V135" i="3"/>
  <c r="S135" i="3" s="1"/>
  <c r="R135" i="3"/>
  <c r="Q135" i="3"/>
  <c r="W134" i="3"/>
  <c r="V134" i="3"/>
  <c r="S134" i="3" s="1"/>
  <c r="T134" i="3"/>
  <c r="R134" i="3"/>
  <c r="Q134" i="3"/>
  <c r="V133" i="3"/>
  <c r="W133" i="3" s="1"/>
  <c r="R133" i="3"/>
  <c r="Q133" i="3"/>
  <c r="V132" i="3"/>
  <c r="W132" i="3" s="1"/>
  <c r="S132" i="3"/>
  <c r="T132" i="3" s="1"/>
  <c r="U132" i="3" s="1"/>
  <c r="R132" i="3"/>
  <c r="Q132" i="3"/>
  <c r="V131" i="3"/>
  <c r="R131" i="3"/>
  <c r="Q131" i="3"/>
  <c r="V130" i="3"/>
  <c r="W130" i="3" s="1"/>
  <c r="S130" i="3"/>
  <c r="R130" i="3"/>
  <c r="Q130" i="3"/>
  <c r="V129" i="3"/>
  <c r="R129" i="3"/>
  <c r="Q129" i="3"/>
  <c r="W128" i="3"/>
  <c r="V128" i="3"/>
  <c r="S128" i="3"/>
  <c r="R128" i="3"/>
  <c r="Q128" i="3"/>
  <c r="V127" i="3"/>
  <c r="W127" i="3" s="1"/>
  <c r="R127" i="3"/>
  <c r="Q127" i="3"/>
  <c r="W126" i="3"/>
  <c r="V126" i="3"/>
  <c r="S126" i="3"/>
  <c r="R126" i="3"/>
  <c r="Q126" i="3"/>
  <c r="V125" i="3"/>
  <c r="R125" i="3"/>
  <c r="Q125" i="3"/>
  <c r="W124" i="3"/>
  <c r="V124" i="3"/>
  <c r="S124" i="3"/>
  <c r="T124" i="3" s="1"/>
  <c r="U124" i="3" s="1"/>
  <c r="R124" i="3"/>
  <c r="Q124" i="3"/>
  <c r="V123" i="3"/>
  <c r="W123" i="3" s="1"/>
  <c r="R123" i="3"/>
  <c r="Q123" i="3"/>
  <c r="V122" i="3"/>
  <c r="W122" i="3" s="1"/>
  <c r="R122" i="3"/>
  <c r="Q122" i="3"/>
  <c r="V121" i="3"/>
  <c r="W121" i="3" s="1"/>
  <c r="R121" i="3"/>
  <c r="Q121" i="3"/>
  <c r="V120" i="3"/>
  <c r="R120" i="3"/>
  <c r="Q120" i="3"/>
  <c r="V119" i="3"/>
  <c r="W119" i="3" s="1"/>
  <c r="S119" i="3"/>
  <c r="R119" i="3"/>
  <c r="Q119" i="3"/>
  <c r="V118" i="3"/>
  <c r="S118" i="3" s="1"/>
  <c r="T118" i="3" s="1"/>
  <c r="U118" i="3"/>
  <c r="R118" i="3"/>
  <c r="Q118" i="3"/>
  <c r="V117" i="3"/>
  <c r="W117" i="3" s="1"/>
  <c r="S117" i="3"/>
  <c r="R117" i="3"/>
  <c r="Q117" i="3"/>
  <c r="V116" i="3"/>
  <c r="W116" i="3" s="1"/>
  <c r="S116" i="3"/>
  <c r="R116" i="3"/>
  <c r="Q116" i="3"/>
  <c r="W115" i="3"/>
  <c r="V115" i="3"/>
  <c r="S115" i="3"/>
  <c r="R115" i="3"/>
  <c r="Q115" i="3"/>
  <c r="W114" i="3"/>
  <c r="V114" i="3"/>
  <c r="S114" i="3"/>
  <c r="T114" i="3" s="1"/>
  <c r="U114" i="3" s="1"/>
  <c r="R114" i="3"/>
  <c r="Q114" i="3"/>
  <c r="W113" i="3"/>
  <c r="V113" i="3"/>
  <c r="S113" i="3"/>
  <c r="R113" i="3"/>
  <c r="Q113" i="3"/>
  <c r="W112" i="3"/>
  <c r="V112" i="3"/>
  <c r="S112" i="3" s="1"/>
  <c r="U112" i="3"/>
  <c r="T112" i="3"/>
  <c r="R112" i="3"/>
  <c r="Q112" i="3"/>
  <c r="W111" i="3"/>
  <c r="V111" i="3"/>
  <c r="S111" i="3" s="1"/>
  <c r="R111" i="3"/>
  <c r="Q111" i="3"/>
  <c r="W110" i="3"/>
  <c r="V110" i="3"/>
  <c r="S110" i="3" s="1"/>
  <c r="T110" i="3" s="1"/>
  <c r="R110" i="3"/>
  <c r="Q110" i="3"/>
  <c r="V109" i="3"/>
  <c r="W109" i="3" s="1"/>
  <c r="R109" i="3"/>
  <c r="Q109" i="3"/>
  <c r="V108" i="3"/>
  <c r="W108" i="3" s="1"/>
  <c r="S108" i="3"/>
  <c r="R108" i="3"/>
  <c r="Q108" i="3"/>
  <c r="V107" i="3"/>
  <c r="R107" i="3"/>
  <c r="Q107" i="3"/>
  <c r="V106" i="3"/>
  <c r="W106" i="3" s="1"/>
  <c r="S106" i="3"/>
  <c r="R106" i="3"/>
  <c r="Q106" i="3"/>
  <c r="V105" i="3"/>
  <c r="R105" i="3"/>
  <c r="Q105" i="3"/>
  <c r="W104" i="3"/>
  <c r="V104" i="3"/>
  <c r="S104" i="3"/>
  <c r="R104" i="3"/>
  <c r="Q104" i="3"/>
  <c r="V103" i="3"/>
  <c r="W103" i="3" s="1"/>
  <c r="R103" i="3"/>
  <c r="Q103" i="3"/>
  <c r="W102" i="3"/>
  <c r="V102" i="3"/>
  <c r="S102" i="3"/>
  <c r="R102" i="3"/>
  <c r="Q102" i="3"/>
  <c r="V101" i="3"/>
  <c r="R101" i="3"/>
  <c r="Q101" i="3"/>
  <c r="W100" i="3"/>
  <c r="V100" i="3"/>
  <c r="S100" i="3"/>
  <c r="T100" i="3" s="1"/>
  <c r="U100" i="3" s="1"/>
  <c r="R100" i="3"/>
  <c r="Q100" i="3"/>
  <c r="V99" i="3"/>
  <c r="W99" i="3" s="1"/>
  <c r="R99" i="3"/>
  <c r="Q99" i="3"/>
  <c r="V98" i="3"/>
  <c r="W98" i="3" s="1"/>
  <c r="S98" i="3"/>
  <c r="R98" i="3"/>
  <c r="Q98" i="3"/>
  <c r="V97" i="3"/>
  <c r="W97" i="3" s="1"/>
  <c r="R97" i="3"/>
  <c r="Q97" i="3"/>
  <c r="V96" i="3"/>
  <c r="R96" i="3"/>
  <c r="Q96" i="3"/>
  <c r="V95" i="3"/>
  <c r="W95" i="3" s="1"/>
  <c r="S95" i="3"/>
  <c r="R95" i="3"/>
  <c r="Q95" i="3"/>
  <c r="V94" i="3"/>
  <c r="S94" i="3" s="1"/>
  <c r="T94" i="3"/>
  <c r="U94" i="3" s="1"/>
  <c r="R94" i="3"/>
  <c r="Q94" i="3"/>
  <c r="W93" i="3"/>
  <c r="V93" i="3"/>
  <c r="S93" i="3"/>
  <c r="R93" i="3"/>
  <c r="Q93" i="3"/>
  <c r="W92" i="3"/>
  <c r="V92" i="3"/>
  <c r="T92" i="3"/>
  <c r="S92" i="3"/>
  <c r="U92" i="3" s="1"/>
  <c r="R92" i="3"/>
  <c r="Q92" i="3"/>
  <c r="W91" i="3"/>
  <c r="V91" i="3"/>
  <c r="S91" i="3"/>
  <c r="R91" i="3"/>
  <c r="Q91" i="3"/>
  <c r="V90" i="3"/>
  <c r="R90" i="3"/>
  <c r="Q90" i="3"/>
  <c r="W89" i="3"/>
  <c r="V89" i="3"/>
  <c r="S89" i="3" s="1"/>
  <c r="U89" i="3"/>
  <c r="T89" i="3"/>
  <c r="R89" i="3"/>
  <c r="Q89" i="3"/>
  <c r="V88" i="3"/>
  <c r="R88" i="3"/>
  <c r="Q88" i="3"/>
  <c r="V87" i="3"/>
  <c r="W87" i="3" s="1"/>
  <c r="S87" i="3"/>
  <c r="T87" i="3" s="1"/>
  <c r="R87" i="3"/>
  <c r="Q87" i="3"/>
  <c r="V86" i="3"/>
  <c r="W86" i="3" s="1"/>
  <c r="S86" i="3"/>
  <c r="R86" i="3"/>
  <c r="Q86" i="3"/>
  <c r="V85" i="3"/>
  <c r="W85" i="3" s="1"/>
  <c r="U85" i="3"/>
  <c r="S85" i="3"/>
  <c r="T85" i="3" s="1"/>
  <c r="R85" i="3"/>
  <c r="Q85" i="3"/>
  <c r="V84" i="3"/>
  <c r="W84" i="3" s="1"/>
  <c r="S84" i="3"/>
  <c r="R84" i="3"/>
  <c r="Q84" i="3"/>
  <c r="V83" i="3"/>
  <c r="W83" i="3" s="1"/>
  <c r="R83" i="3"/>
  <c r="Q83" i="3"/>
  <c r="V82" i="3"/>
  <c r="S82" i="3" s="1"/>
  <c r="T82" i="3" s="1"/>
  <c r="U82" i="3"/>
  <c r="R82" i="3"/>
  <c r="Q82" i="3"/>
  <c r="V81" i="3"/>
  <c r="W81" i="3" s="1"/>
  <c r="S81" i="3"/>
  <c r="T81" i="3" s="1"/>
  <c r="R81" i="3"/>
  <c r="Q81" i="3"/>
  <c r="W80" i="3"/>
  <c r="V80" i="3"/>
  <c r="S80" i="3"/>
  <c r="R80" i="3"/>
  <c r="Q80" i="3"/>
  <c r="W79" i="3"/>
  <c r="V79" i="3"/>
  <c r="S79" i="3"/>
  <c r="T79" i="3" s="1"/>
  <c r="U79" i="3" s="1"/>
  <c r="R79" i="3"/>
  <c r="Q79" i="3"/>
  <c r="V78" i="3"/>
  <c r="W78" i="3" s="1"/>
  <c r="S78" i="3"/>
  <c r="R78" i="3"/>
  <c r="Q78" i="3"/>
  <c r="V77" i="3"/>
  <c r="S77" i="3" s="1"/>
  <c r="R77" i="3"/>
  <c r="Q77" i="3"/>
  <c r="V76" i="3"/>
  <c r="S76" i="3" s="1"/>
  <c r="T76" i="3"/>
  <c r="R76" i="3"/>
  <c r="Q76" i="3"/>
  <c r="V75" i="3"/>
  <c r="W75" i="3" s="1"/>
  <c r="R75" i="3"/>
  <c r="Q75" i="3"/>
  <c r="V74" i="3"/>
  <c r="W74" i="3" s="1"/>
  <c r="S74" i="3"/>
  <c r="R74" i="3"/>
  <c r="Q74" i="3"/>
  <c r="W73" i="3"/>
  <c r="V73" i="3"/>
  <c r="S73" i="3"/>
  <c r="R73" i="3"/>
  <c r="Q73" i="3"/>
  <c r="V72" i="3"/>
  <c r="W72" i="3" s="1"/>
  <c r="S72" i="3"/>
  <c r="T72" i="3" s="1"/>
  <c r="R72" i="3"/>
  <c r="Q72" i="3"/>
  <c r="W71" i="3"/>
  <c r="V71" i="3"/>
  <c r="S71" i="3"/>
  <c r="T71" i="3" s="1"/>
  <c r="U71" i="3" s="1"/>
  <c r="R71" i="3"/>
  <c r="Q71" i="3"/>
  <c r="V70" i="3"/>
  <c r="S70" i="3" s="1"/>
  <c r="T70" i="3"/>
  <c r="U70" i="3" s="1"/>
  <c r="R70" i="3"/>
  <c r="Q70" i="3"/>
  <c r="W69" i="3"/>
  <c r="V69" i="3"/>
  <c r="U69" i="3"/>
  <c r="S69" i="3"/>
  <c r="T69" i="3" s="1"/>
  <c r="R69" i="3"/>
  <c r="Q69" i="3"/>
  <c r="W68" i="3"/>
  <c r="V68" i="3"/>
  <c r="T68" i="3"/>
  <c r="S68" i="3"/>
  <c r="U68" i="3" s="1"/>
  <c r="R68" i="3"/>
  <c r="Q68" i="3"/>
  <c r="W67" i="3"/>
  <c r="V67" i="3"/>
  <c r="S67" i="3"/>
  <c r="R67" i="3"/>
  <c r="Q67" i="3"/>
  <c r="V66" i="3"/>
  <c r="R66" i="3"/>
  <c r="Q66" i="3"/>
  <c r="V65" i="3"/>
  <c r="S65" i="3" s="1"/>
  <c r="T65" i="3" s="1"/>
  <c r="U65" i="3" s="1"/>
  <c r="R65" i="3"/>
  <c r="Q65" i="3"/>
  <c r="V64" i="3"/>
  <c r="R64" i="3"/>
  <c r="Q64" i="3"/>
  <c r="V63" i="3"/>
  <c r="W63" i="3" s="1"/>
  <c r="R63" i="3"/>
  <c r="Q63" i="3"/>
  <c r="V62" i="3"/>
  <c r="W62" i="3" s="1"/>
  <c r="S62" i="3"/>
  <c r="R62" i="3"/>
  <c r="Q62" i="3"/>
  <c r="V61" i="3"/>
  <c r="W61" i="3" s="1"/>
  <c r="S61" i="3"/>
  <c r="T61" i="3" s="1"/>
  <c r="R61" i="3"/>
  <c r="Q61" i="3"/>
  <c r="V60" i="3"/>
  <c r="W60" i="3" s="1"/>
  <c r="T60" i="3"/>
  <c r="S60" i="3"/>
  <c r="U60" i="3" s="1"/>
  <c r="R60" i="3"/>
  <c r="Q60" i="3"/>
  <c r="V59" i="3"/>
  <c r="W59" i="3" s="1"/>
  <c r="S59" i="3"/>
  <c r="T59" i="3" s="1"/>
  <c r="R59" i="3"/>
  <c r="Q59" i="3"/>
  <c r="V58" i="3"/>
  <c r="S58" i="3" s="1"/>
  <c r="T58" i="3" s="1"/>
  <c r="U58" i="3"/>
  <c r="R58" i="3"/>
  <c r="Q58" i="3"/>
  <c r="V57" i="3"/>
  <c r="W57" i="3" s="1"/>
  <c r="R57" i="3"/>
  <c r="Q57" i="3"/>
  <c r="W56" i="3"/>
  <c r="V56" i="3"/>
  <c r="T56" i="3"/>
  <c r="S56" i="3"/>
  <c r="R56" i="3"/>
  <c r="Q56" i="3"/>
  <c r="W55" i="3"/>
  <c r="V55" i="3"/>
  <c r="T55" i="3"/>
  <c r="S55" i="3"/>
  <c r="U55" i="3" s="1"/>
  <c r="R55" i="3"/>
  <c r="Q55" i="3"/>
  <c r="V54" i="3"/>
  <c r="W54" i="3" s="1"/>
  <c r="S54" i="3"/>
  <c r="R54" i="3"/>
  <c r="Q54" i="3"/>
  <c r="V53" i="3"/>
  <c r="W53" i="3" s="1"/>
  <c r="R53" i="3"/>
  <c r="Q53" i="3"/>
  <c r="V52" i="3"/>
  <c r="S52" i="3" s="1"/>
  <c r="T52" i="3" s="1"/>
  <c r="R52" i="3"/>
  <c r="Q52" i="3"/>
  <c r="V51" i="3"/>
  <c r="W51" i="3" s="1"/>
  <c r="S51" i="3"/>
  <c r="R51" i="3"/>
  <c r="Q51" i="3"/>
  <c r="V50" i="3"/>
  <c r="W50" i="3" s="1"/>
  <c r="S50" i="3"/>
  <c r="R50" i="3"/>
  <c r="Q50" i="3"/>
  <c r="W49" i="3"/>
  <c r="V49" i="3"/>
  <c r="S49" i="3"/>
  <c r="R49" i="3"/>
  <c r="Q49" i="3"/>
  <c r="V48" i="3"/>
  <c r="W48" i="3" s="1"/>
  <c r="S48" i="3"/>
  <c r="R48" i="3"/>
  <c r="Q48" i="3"/>
  <c r="W47" i="3"/>
  <c r="V47" i="3"/>
  <c r="U47" i="3"/>
  <c r="T47" i="3"/>
  <c r="S47" i="3"/>
  <c r="R47" i="3"/>
  <c r="Q47" i="3"/>
  <c r="V46" i="3"/>
  <c r="S46" i="3" s="1"/>
  <c r="T46" i="3"/>
  <c r="U46" i="3" s="1"/>
  <c r="R46" i="3"/>
  <c r="Q46" i="3"/>
  <c r="W45" i="3"/>
  <c r="V45" i="3"/>
  <c r="S45" i="3"/>
  <c r="T45" i="3" s="1"/>
  <c r="R45" i="3"/>
  <c r="Q45" i="3"/>
  <c r="W44" i="3"/>
  <c r="V44" i="3"/>
  <c r="T44" i="3"/>
  <c r="S44" i="3"/>
  <c r="U44" i="3" s="1"/>
  <c r="R44" i="3"/>
  <c r="Q44" i="3"/>
  <c r="V43" i="3"/>
  <c r="W43" i="3" s="1"/>
  <c r="R43" i="3"/>
  <c r="Q43" i="3"/>
  <c r="V42" i="3"/>
  <c r="R42" i="3"/>
  <c r="Q42" i="3"/>
  <c r="V41" i="3"/>
  <c r="S41" i="3" s="1"/>
  <c r="T41" i="3"/>
  <c r="U41" i="3" s="1"/>
  <c r="R41" i="3"/>
  <c r="Q41" i="3"/>
  <c r="V40" i="3"/>
  <c r="W40" i="3" s="1"/>
  <c r="S40" i="3"/>
  <c r="R40" i="3"/>
  <c r="Q40" i="3"/>
  <c r="V39" i="3"/>
  <c r="W39" i="3" s="1"/>
  <c r="R39" i="3"/>
  <c r="Q39" i="3"/>
  <c r="V38" i="3"/>
  <c r="W38" i="3" s="1"/>
  <c r="S38" i="3"/>
  <c r="R38" i="3"/>
  <c r="Q38" i="3"/>
  <c r="V37" i="3"/>
  <c r="W37" i="3" s="1"/>
  <c r="S37" i="3"/>
  <c r="T37" i="3" s="1"/>
  <c r="R37" i="3"/>
  <c r="Q37" i="3"/>
  <c r="V36" i="3"/>
  <c r="W36" i="3" s="1"/>
  <c r="S36" i="3"/>
  <c r="R36" i="3"/>
  <c r="Q36" i="3"/>
  <c r="V35" i="3"/>
  <c r="W35" i="3" s="1"/>
  <c r="U35" i="3"/>
  <c r="S35" i="3"/>
  <c r="T35" i="3" s="1"/>
  <c r="R35" i="3"/>
  <c r="Q35" i="3"/>
  <c r="V34" i="3"/>
  <c r="S34" i="3" s="1"/>
  <c r="T34" i="3" s="1"/>
  <c r="U34" i="3"/>
  <c r="R34" i="3"/>
  <c r="Q34" i="3"/>
  <c r="V33" i="3"/>
  <c r="W33" i="3" s="1"/>
  <c r="R33" i="3"/>
  <c r="Q33" i="3"/>
  <c r="V32" i="3"/>
  <c r="W32" i="3" s="1"/>
  <c r="S32" i="3"/>
  <c r="R32" i="3"/>
  <c r="Q32" i="3"/>
  <c r="W31" i="3"/>
  <c r="V31" i="3"/>
  <c r="U31" i="3"/>
  <c r="T31" i="3"/>
  <c r="S31" i="3"/>
  <c r="R31" i="3"/>
  <c r="Q31" i="3"/>
  <c r="V30" i="3"/>
  <c r="W30" i="3" s="1"/>
  <c r="S30" i="3"/>
  <c r="R30" i="3"/>
  <c r="Q30" i="3"/>
  <c r="W29" i="3"/>
  <c r="V29" i="3"/>
  <c r="S29" i="3"/>
  <c r="R29" i="3"/>
  <c r="Q29" i="3"/>
  <c r="W28" i="3"/>
  <c r="V28" i="3"/>
  <c r="S28" i="3" s="1"/>
  <c r="T28" i="3"/>
  <c r="R28" i="3"/>
  <c r="Q28" i="3"/>
  <c r="V27" i="3"/>
  <c r="W27" i="3" s="1"/>
  <c r="S27" i="3"/>
  <c r="R27" i="3"/>
  <c r="Q27" i="3"/>
  <c r="V26" i="3"/>
  <c r="W26" i="3" s="1"/>
  <c r="S26" i="3"/>
  <c r="R26" i="3"/>
  <c r="Q26" i="3"/>
  <c r="W25" i="3"/>
  <c r="V25" i="3"/>
  <c r="S25" i="3"/>
  <c r="R25" i="3"/>
  <c r="Q25" i="3"/>
  <c r="V24" i="3"/>
  <c r="W24" i="3" s="1"/>
  <c r="S24" i="3"/>
  <c r="T24" i="3" s="1"/>
  <c r="R24" i="3"/>
  <c r="Q24" i="3"/>
  <c r="W23" i="3"/>
  <c r="V23" i="3"/>
  <c r="S23" i="3"/>
  <c r="T23" i="3" s="1"/>
  <c r="U23" i="3" s="1"/>
  <c r="R23" i="3"/>
  <c r="Q23" i="3"/>
  <c r="V22" i="3"/>
  <c r="S22" i="3" s="1"/>
  <c r="T22" i="3"/>
  <c r="R22" i="3"/>
  <c r="E16" i="2" s="1"/>
  <c r="F16" i="2" s="1"/>
  <c r="Q22" i="3"/>
  <c r="C26" i="2" s="1"/>
  <c r="D26" i="2" s="1"/>
  <c r="W21" i="3"/>
  <c r="V21" i="3"/>
  <c r="U21" i="3"/>
  <c r="S21" i="3"/>
  <c r="T21" i="3" s="1"/>
  <c r="R21" i="3"/>
  <c r="Q21" i="3"/>
  <c r="W20" i="3"/>
  <c r="V20" i="3"/>
  <c r="T20" i="3"/>
  <c r="S20" i="3"/>
  <c r="U20" i="3" s="1"/>
  <c r="R20" i="3"/>
  <c r="Q20" i="3"/>
  <c r="W19" i="3"/>
  <c r="V19" i="3"/>
  <c r="S19" i="3" s="1"/>
  <c r="R19" i="3"/>
  <c r="E27" i="2" s="1"/>
  <c r="F27" i="2" s="1"/>
  <c r="Q19" i="3"/>
  <c r="C27" i="2" s="1"/>
  <c r="D27" i="2" s="1"/>
  <c r="V18" i="3"/>
  <c r="R18" i="3"/>
  <c r="Q18" i="3"/>
  <c r="V17" i="3"/>
  <c r="S17" i="3" s="1"/>
  <c r="T17" i="3" s="1"/>
  <c r="U17" i="3" s="1"/>
  <c r="R17" i="3"/>
  <c r="Q17" i="3"/>
  <c r="V16" i="3"/>
  <c r="W16" i="3" s="1"/>
  <c r="S16" i="3"/>
  <c r="R16" i="3"/>
  <c r="Q16" i="3"/>
  <c r="W15" i="3"/>
  <c r="V15" i="3"/>
  <c r="S15" i="3" s="1"/>
  <c r="R15" i="3"/>
  <c r="Q15" i="3"/>
  <c r="V14" i="3"/>
  <c r="W14" i="3" s="1"/>
  <c r="S14" i="3"/>
  <c r="R14" i="3"/>
  <c r="E25" i="2" s="1"/>
  <c r="F25" i="2" s="1"/>
  <c r="Q14" i="3"/>
  <c r="C25" i="2" s="1"/>
  <c r="D25" i="2" s="1"/>
  <c r="V13" i="3"/>
  <c r="W13" i="3" s="1"/>
  <c r="S13" i="3"/>
  <c r="T13" i="3" s="1"/>
  <c r="R13" i="3"/>
  <c r="Q13" i="3"/>
  <c r="V12" i="3"/>
  <c r="W12" i="3" s="1"/>
  <c r="S12" i="3"/>
  <c r="R12" i="3"/>
  <c r="Q12" i="3"/>
  <c r="V11" i="3"/>
  <c r="W11" i="3" s="1"/>
  <c r="R11" i="3"/>
  <c r="Q11" i="3"/>
  <c r="C8" i="2" s="1"/>
  <c r="D8" i="2" s="1"/>
  <c r="B13" i="1" s="1"/>
  <c r="V10" i="3"/>
  <c r="S10" i="3" s="1"/>
  <c r="T10" i="3" s="1"/>
  <c r="U10" i="3"/>
  <c r="R10" i="3"/>
  <c r="Q10" i="3"/>
  <c r="W9" i="3"/>
  <c r="V9" i="3"/>
  <c r="S9" i="3"/>
  <c r="R9" i="3"/>
  <c r="Q9" i="3"/>
  <c r="W8" i="3"/>
  <c r="V8" i="3"/>
  <c r="S8" i="3"/>
  <c r="R8" i="3"/>
  <c r="Q8" i="3"/>
  <c r="W7" i="3"/>
  <c r="V7" i="3"/>
  <c r="S7" i="3"/>
  <c r="T7" i="3" s="1"/>
  <c r="R7" i="3"/>
  <c r="Q7" i="3"/>
  <c r="V6" i="3"/>
  <c r="W6" i="3" s="1"/>
  <c r="S6" i="3"/>
  <c r="R6" i="3"/>
  <c r="E22" i="2" s="1"/>
  <c r="Q6" i="3"/>
  <c r="C14" i="2" s="1"/>
  <c r="V5" i="3"/>
  <c r="S5" i="3" s="1"/>
  <c r="R5" i="3"/>
  <c r="Q5" i="3"/>
  <c r="V4" i="3"/>
  <c r="S4" i="3" s="1"/>
  <c r="T4" i="3"/>
  <c r="R4" i="3"/>
  <c r="E14" i="2" s="1"/>
  <c r="Q4" i="3"/>
  <c r="V3" i="3"/>
  <c r="W3" i="3" s="1"/>
  <c r="R3" i="3"/>
  <c r="Q3" i="3"/>
  <c r="V2" i="3"/>
  <c r="S2" i="3"/>
  <c r="R2" i="3"/>
  <c r="E23" i="2" s="1"/>
  <c r="F23" i="2" s="1"/>
  <c r="Q2" i="3"/>
  <c r="C23" i="2" s="1"/>
  <c r="D23" i="2" s="1"/>
  <c r="G27" i="2"/>
  <c r="H27" i="2" s="1"/>
  <c r="B27" i="2"/>
  <c r="D24" i="1" s="1"/>
  <c r="G26" i="2"/>
  <c r="H26" i="2" s="1"/>
  <c r="B26" i="2"/>
  <c r="D23" i="1" s="1"/>
  <c r="G25" i="2"/>
  <c r="H25" i="2" s="1"/>
  <c r="B25" i="2"/>
  <c r="D22" i="1" s="1"/>
  <c r="G24" i="2"/>
  <c r="H24" i="2" s="1"/>
  <c r="C24" i="2"/>
  <c r="D24" i="2" s="1"/>
  <c r="B24" i="2"/>
  <c r="D21" i="1" s="1"/>
  <c r="G23" i="2"/>
  <c r="H23" i="2" s="1"/>
  <c r="B23" i="2"/>
  <c r="D20" i="1" s="1"/>
  <c r="G22" i="2"/>
  <c r="G28" i="2" s="1"/>
  <c r="C22" i="2"/>
  <c r="B22" i="2"/>
  <c r="D19" i="1" s="1"/>
  <c r="G16" i="2"/>
  <c r="H16" i="2" s="1"/>
  <c r="C16" i="2"/>
  <c r="D16" i="2" s="1"/>
  <c r="B16" i="2"/>
  <c r="G15" i="2"/>
  <c r="H15" i="2" s="1"/>
  <c r="E15" i="2"/>
  <c r="F15" i="2" s="1"/>
  <c r="B15" i="2"/>
  <c r="G14" i="2"/>
  <c r="H14" i="2" s="1"/>
  <c r="B14" i="2"/>
  <c r="B17" i="2" s="1"/>
  <c r="G8" i="2"/>
  <c r="H8" i="2" s="1"/>
  <c r="E8" i="2"/>
  <c r="F8" i="2" s="1"/>
  <c r="C13" i="1" s="1"/>
  <c r="B8" i="2"/>
  <c r="D13" i="1" s="1"/>
  <c r="G7" i="2"/>
  <c r="H7" i="2" s="1"/>
  <c r="E7" i="2"/>
  <c r="F7" i="2" s="1"/>
  <c r="C12" i="1" s="1"/>
  <c r="B7" i="2"/>
  <c r="D12" i="1" s="1"/>
  <c r="G6" i="2"/>
  <c r="G9" i="2" s="1"/>
  <c r="B6" i="2"/>
  <c r="D11" i="1" s="1"/>
  <c r="A24" i="1"/>
  <c r="A23" i="1"/>
  <c r="A22" i="1"/>
  <c r="A21" i="1"/>
  <c r="A20" i="1"/>
  <c r="A19" i="1"/>
  <c r="A13" i="1"/>
  <c r="A12" i="1"/>
  <c r="A11" i="1"/>
  <c r="H28" i="2" l="1"/>
  <c r="D14" i="2"/>
  <c r="U50" i="3"/>
  <c r="U564" i="3"/>
  <c r="U280" i="3"/>
  <c r="T77" i="3"/>
  <c r="U77" i="3" s="1"/>
  <c r="U16" i="3"/>
  <c r="C28" i="2"/>
  <c r="D28" i="2" s="1"/>
  <c r="U492" i="3"/>
  <c r="U40" i="3"/>
  <c r="T194" i="3"/>
  <c r="U194" i="3" s="1"/>
  <c r="U300" i="3"/>
  <c r="U84" i="3"/>
  <c r="U444" i="3"/>
  <c r="H9" i="2"/>
  <c r="J7" i="1" s="1"/>
  <c r="U7" i="3"/>
  <c r="T19" i="3"/>
  <c r="U19" i="3" s="1"/>
  <c r="U208" i="3"/>
  <c r="U2" i="3"/>
  <c r="T15" i="3"/>
  <c r="U15" i="3"/>
  <c r="U48" i="3"/>
  <c r="U108" i="3"/>
  <c r="U420" i="3"/>
  <c r="T5" i="3"/>
  <c r="F14" i="2"/>
  <c r="E17" i="2"/>
  <c r="F17" i="2" s="1"/>
  <c r="E28" i="2"/>
  <c r="F28" i="2" s="1"/>
  <c r="F22" i="2"/>
  <c r="U73" i="3"/>
  <c r="C6" i="2"/>
  <c r="B33" i="2"/>
  <c r="W120" i="3"/>
  <c r="S120" i="3"/>
  <c r="S173" i="3"/>
  <c r="W173" i="3"/>
  <c r="T242" i="3"/>
  <c r="U242" i="3" s="1"/>
  <c r="W321" i="3"/>
  <c r="S321" i="3"/>
  <c r="U327" i="3"/>
  <c r="T327" i="3"/>
  <c r="U375" i="3"/>
  <c r="T375" i="3"/>
  <c r="T462" i="3"/>
  <c r="U462" i="3" s="1"/>
  <c r="T566" i="3"/>
  <c r="U566" i="3" s="1"/>
  <c r="B34" i="2"/>
  <c r="T25" i="3"/>
  <c r="U25" i="3" s="1"/>
  <c r="T73" i="3"/>
  <c r="U81" i="3"/>
  <c r="T115" i="3"/>
  <c r="U115" i="3" s="1"/>
  <c r="T126" i="3"/>
  <c r="U126" i="3" s="1"/>
  <c r="U158" i="3"/>
  <c r="W179" i="3"/>
  <c r="S179" i="3"/>
  <c r="T189" i="3"/>
  <c r="U189" i="3" s="1"/>
  <c r="T200" i="3"/>
  <c r="U200" i="3" s="1"/>
  <c r="W327" i="3"/>
  <c r="W369" i="3"/>
  <c r="S369" i="3"/>
  <c r="W375" i="3"/>
  <c r="T506" i="3"/>
  <c r="U506" i="3" s="1"/>
  <c r="W539" i="3"/>
  <c r="S539" i="3"/>
  <c r="E26" i="2"/>
  <c r="F26" i="2" s="1"/>
  <c r="T9" i="3"/>
  <c r="T29" i="3"/>
  <c r="U29" i="3" s="1"/>
  <c r="S33" i="3"/>
  <c r="U45" i="3"/>
  <c r="S53" i="3"/>
  <c r="E6" i="2"/>
  <c r="C15" i="2"/>
  <c r="D15" i="2" s="1"/>
  <c r="G17" i="2"/>
  <c r="H17" i="2" s="1"/>
  <c r="B35" i="2"/>
  <c r="U9" i="3"/>
  <c r="U13" i="3"/>
  <c r="W17" i="3"/>
  <c r="T49" i="3"/>
  <c r="U49" i="3" s="1"/>
  <c r="S57" i="3"/>
  <c r="W65" i="3"/>
  <c r="W168" i="3"/>
  <c r="S168" i="3"/>
  <c r="S221" i="3"/>
  <c r="W221" i="3"/>
  <c r="T263" i="3"/>
  <c r="U263" i="3" s="1"/>
  <c r="T280" i="3"/>
  <c r="T290" i="3"/>
  <c r="U290" i="3" s="1"/>
  <c r="W358" i="3"/>
  <c r="U380" i="3"/>
  <c r="W419" i="3"/>
  <c r="S419" i="3"/>
  <c r="S533" i="3"/>
  <c r="W533" i="3"/>
  <c r="W5" i="3"/>
  <c r="U37" i="3"/>
  <c r="W41" i="3"/>
  <c r="U61" i="3"/>
  <c r="W77" i="3"/>
  <c r="W94" i="3"/>
  <c r="W105" i="3"/>
  <c r="S105" i="3"/>
  <c r="T111" i="3"/>
  <c r="U111" i="3" s="1"/>
  <c r="U142" i="3"/>
  <c r="T163" i="3"/>
  <c r="U163" i="3" s="1"/>
  <c r="T174" i="3"/>
  <c r="U174" i="3" s="1"/>
  <c r="U206" i="3"/>
  <c r="W227" i="3"/>
  <c r="S227" i="3"/>
  <c r="T237" i="3"/>
  <c r="U237" i="3" s="1"/>
  <c r="T248" i="3"/>
  <c r="U248" i="3" s="1"/>
  <c r="U311" i="3"/>
  <c r="U322" i="3"/>
  <c r="U332" i="3"/>
  <c r="T386" i="3"/>
  <c r="U386" i="3" s="1"/>
  <c r="S413" i="3"/>
  <c r="W413" i="3"/>
  <c r="T447" i="3"/>
  <c r="U447" i="3" s="1"/>
  <c r="U479" i="3"/>
  <c r="T512" i="3"/>
  <c r="U512" i="3" s="1"/>
  <c r="U545" i="3"/>
  <c r="U86" i="3"/>
  <c r="W90" i="3"/>
  <c r="S90" i="3"/>
  <c r="W216" i="3"/>
  <c r="S216" i="3"/>
  <c r="S269" i="3"/>
  <c r="W269" i="3"/>
  <c r="T338" i="3"/>
  <c r="U338" i="3" s="1"/>
  <c r="U370" i="3"/>
  <c r="W441" i="3"/>
  <c r="S441" i="3"/>
  <c r="U501" i="3"/>
  <c r="U518" i="3"/>
  <c r="T518" i="3"/>
  <c r="W561" i="3"/>
  <c r="S561" i="3"/>
  <c r="T567" i="3"/>
  <c r="U567" i="3" s="1"/>
  <c r="H6" i="2"/>
  <c r="B9" i="2"/>
  <c r="A7" i="1" s="1"/>
  <c r="T86" i="3"/>
  <c r="W142" i="3"/>
  <c r="W153" i="3"/>
  <c r="S153" i="3"/>
  <c r="T159" i="3"/>
  <c r="U159" i="3" s="1"/>
  <c r="T180" i="3"/>
  <c r="U180" i="3" s="1"/>
  <c r="T211" i="3"/>
  <c r="U211" i="3" s="1"/>
  <c r="T222" i="3"/>
  <c r="U222" i="3" s="1"/>
  <c r="U254" i="3"/>
  <c r="W275" i="3"/>
  <c r="S275" i="3"/>
  <c r="T285" i="3"/>
  <c r="U285" i="3" s="1"/>
  <c r="U296" i="3"/>
  <c r="T296" i="3"/>
  <c r="T392" i="3"/>
  <c r="U392" i="3" s="1"/>
  <c r="T398" i="3"/>
  <c r="U398" i="3" s="1"/>
  <c r="W491" i="3"/>
  <c r="S491" i="3"/>
  <c r="T523" i="3"/>
  <c r="U523" i="3" s="1"/>
  <c r="T534" i="3"/>
  <c r="U534" i="3" s="1"/>
  <c r="T540" i="3"/>
  <c r="U540" i="3" s="1"/>
  <c r="W567" i="3"/>
  <c r="U572" i="3"/>
  <c r="T590" i="3"/>
  <c r="U590" i="3" s="1"/>
  <c r="U596" i="3"/>
  <c r="H22" i="2"/>
  <c r="U6" i="3"/>
  <c r="U14" i="3"/>
  <c r="U22" i="3"/>
  <c r="U78" i="3"/>
  <c r="W159" i="3"/>
  <c r="U259" i="3"/>
  <c r="W264" i="3"/>
  <c r="S264" i="3"/>
  <c r="S317" i="3"/>
  <c r="W317" i="3"/>
  <c r="T359" i="3"/>
  <c r="U359" i="3" s="1"/>
  <c r="T403" i="3"/>
  <c r="U403" i="3" s="1"/>
  <c r="T414" i="3"/>
  <c r="U414" i="3" s="1"/>
  <c r="T420" i="3"/>
  <c r="W430" i="3"/>
  <c r="T458" i="3"/>
  <c r="U458" i="3" s="1"/>
  <c r="S485" i="3"/>
  <c r="W485" i="3"/>
  <c r="W550" i="3"/>
  <c r="T578" i="3"/>
  <c r="U578" i="3" s="1"/>
  <c r="B28" i="2"/>
  <c r="T2" i="3"/>
  <c r="T6" i="3"/>
  <c r="T14" i="3"/>
  <c r="W18" i="3"/>
  <c r="S18" i="3"/>
  <c r="I25" i="2" s="1"/>
  <c r="C22" i="1" s="1"/>
  <c r="W66" i="3"/>
  <c r="S66" i="3"/>
  <c r="T78" i="3"/>
  <c r="T95" i="3"/>
  <c r="U95" i="3" s="1"/>
  <c r="S122" i="3"/>
  <c r="W190" i="3"/>
  <c r="W201" i="3"/>
  <c r="S201" i="3"/>
  <c r="T207" i="3"/>
  <c r="U207" i="3" s="1"/>
  <c r="T228" i="3"/>
  <c r="U228" i="3" s="1"/>
  <c r="U238" i="3"/>
  <c r="T259" i="3"/>
  <c r="U270" i="3"/>
  <c r="T270" i="3"/>
  <c r="U302" i="3"/>
  <c r="W323" i="3"/>
  <c r="S323" i="3"/>
  <c r="T333" i="3"/>
  <c r="U333" i="3" s="1"/>
  <c r="T344" i="3"/>
  <c r="U344" i="3" s="1"/>
  <c r="U448" i="3"/>
  <c r="U497" i="3"/>
  <c r="U562" i="3"/>
  <c r="W22" i="3"/>
  <c r="T30" i="3"/>
  <c r="U30" i="3" s="1"/>
  <c r="T38" i="3"/>
  <c r="U38" i="3" s="1"/>
  <c r="T62" i="3"/>
  <c r="U62" i="3" s="1"/>
  <c r="W70" i="3"/>
  <c r="T74" i="3"/>
  <c r="U74" i="3" s="1"/>
  <c r="W82" i="3"/>
  <c r="U143" i="3"/>
  <c r="U154" i="3"/>
  <c r="U164" i="3"/>
  <c r="W312" i="3"/>
  <c r="S312" i="3"/>
  <c r="W371" i="3"/>
  <c r="S371" i="3"/>
  <c r="T464" i="3"/>
  <c r="U464" i="3" s="1"/>
  <c r="T470" i="3"/>
  <c r="U470" i="3" s="1"/>
  <c r="W513" i="3"/>
  <c r="S513" i="3"/>
  <c r="T519" i="3"/>
  <c r="U519" i="3" s="1"/>
  <c r="T26" i="3"/>
  <c r="U26" i="3" s="1"/>
  <c r="W42" i="3"/>
  <c r="S42" i="3"/>
  <c r="U54" i="3"/>
  <c r="T91" i="3"/>
  <c r="U91" i="3" s="1"/>
  <c r="U307" i="3"/>
  <c r="S365" i="3"/>
  <c r="W365" i="3"/>
  <c r="D22" i="2"/>
  <c r="B32" i="2"/>
  <c r="B36" i="2" s="1"/>
  <c r="W10" i="3"/>
  <c r="W46" i="3"/>
  <c r="T50" i="3"/>
  <c r="T54" i="3"/>
  <c r="S101" i="3"/>
  <c r="W101" i="3"/>
  <c r="T143" i="3"/>
  <c r="T170" i="3"/>
  <c r="U170" i="3" s="1"/>
  <c r="W238" i="3"/>
  <c r="W249" i="3"/>
  <c r="S249" i="3"/>
  <c r="T255" i="3"/>
  <c r="U255" i="3" s="1"/>
  <c r="T276" i="3"/>
  <c r="U276" i="3" s="1"/>
  <c r="T307" i="3"/>
  <c r="T318" i="3"/>
  <c r="U318" i="3" s="1"/>
  <c r="U350" i="3"/>
  <c r="U377" i="3"/>
  <c r="T399" i="3"/>
  <c r="U399" i="3" s="1"/>
  <c r="U453" i="3"/>
  <c r="T475" i="3"/>
  <c r="U475" i="3" s="1"/>
  <c r="T486" i="3"/>
  <c r="U486" i="3" s="1"/>
  <c r="T492" i="3"/>
  <c r="W519" i="3"/>
  <c r="S591" i="3"/>
  <c r="W591" i="3"/>
  <c r="C7" i="2"/>
  <c r="D7" i="2" s="1"/>
  <c r="B12" i="1" s="1"/>
  <c r="W2" i="3"/>
  <c r="W34" i="3"/>
  <c r="U87" i="3"/>
  <c r="W107" i="3"/>
  <c r="S107" i="3"/>
  <c r="T117" i="3"/>
  <c r="U117" i="3" s="1"/>
  <c r="T128" i="3"/>
  <c r="U128" i="3" s="1"/>
  <c r="U191" i="3"/>
  <c r="U202" i="3"/>
  <c r="W255" i="3"/>
  <c r="U329" i="3"/>
  <c r="W393" i="3"/>
  <c r="S393" i="3"/>
  <c r="W399" i="3"/>
  <c r="W502" i="3"/>
  <c r="U524" i="3"/>
  <c r="S43" i="3"/>
  <c r="W58" i="3"/>
  <c r="T67" i="3"/>
  <c r="U67" i="3" s="1"/>
  <c r="S83" i="3"/>
  <c r="W96" i="3"/>
  <c r="S96" i="3"/>
  <c r="S149" i="3"/>
  <c r="W149" i="3"/>
  <c r="T191" i="3"/>
  <c r="T208" i="3"/>
  <c r="T218" i="3"/>
  <c r="U218" i="3" s="1"/>
  <c r="W286" i="3"/>
  <c r="W297" i="3"/>
  <c r="S297" i="3"/>
  <c r="T303" i="3"/>
  <c r="U303" i="3" s="1"/>
  <c r="T324" i="3"/>
  <c r="U324" i="3" s="1"/>
  <c r="T355" i="3"/>
  <c r="U355" i="3" s="1"/>
  <c r="T366" i="3"/>
  <c r="U366" i="3" s="1"/>
  <c r="W443" i="3"/>
  <c r="S443" i="3"/>
  <c r="U514" i="3"/>
  <c r="T530" i="3"/>
  <c r="U530" i="3" s="1"/>
  <c r="W563" i="3"/>
  <c r="S563" i="3"/>
  <c r="S11" i="3"/>
  <c r="S39" i="3"/>
  <c r="S63" i="3"/>
  <c r="T102" i="3"/>
  <c r="U102" i="3" s="1"/>
  <c r="U134" i="3"/>
  <c r="W155" i="3"/>
  <c r="S155" i="3"/>
  <c r="T165" i="3"/>
  <c r="U165" i="3" s="1"/>
  <c r="T176" i="3"/>
  <c r="U176" i="3" s="1"/>
  <c r="U239" i="3"/>
  <c r="U250" i="3"/>
  <c r="U260" i="3"/>
  <c r="W303" i="3"/>
  <c r="W382" i="3"/>
  <c r="T410" i="3"/>
  <c r="U410" i="3" s="1"/>
  <c r="S437" i="3"/>
  <c r="W437" i="3"/>
  <c r="T471" i="3"/>
  <c r="U471" i="3" s="1"/>
  <c r="U520" i="3"/>
  <c r="S557" i="3"/>
  <c r="W557" i="3"/>
  <c r="T592" i="3"/>
  <c r="U592" i="3" s="1"/>
  <c r="S3" i="3"/>
  <c r="I23" i="2" s="1"/>
  <c r="C20" i="1" s="1"/>
  <c r="S75" i="3"/>
  <c r="U113" i="3"/>
  <c r="U139" i="3"/>
  <c r="W144" i="3"/>
  <c r="S144" i="3"/>
  <c r="S197" i="3"/>
  <c r="W197" i="3"/>
  <c r="U266" i="3"/>
  <c r="T266" i="3"/>
  <c r="W345" i="3"/>
  <c r="S345" i="3"/>
  <c r="T351" i="3"/>
  <c r="U351" i="3" s="1"/>
  <c r="W465" i="3"/>
  <c r="S465" i="3"/>
  <c r="T536" i="3"/>
  <c r="U536" i="3" s="1"/>
  <c r="U569" i="3"/>
  <c r="T108" i="3"/>
  <c r="T139" i="3"/>
  <c r="T150" i="3"/>
  <c r="U150" i="3" s="1"/>
  <c r="U182" i="3"/>
  <c r="W203" i="3"/>
  <c r="S203" i="3"/>
  <c r="T213" i="3"/>
  <c r="U213" i="3" s="1"/>
  <c r="T224" i="3"/>
  <c r="U224" i="3" s="1"/>
  <c r="U298" i="3"/>
  <c r="W351" i="3"/>
  <c r="T416" i="3"/>
  <c r="U416" i="3" s="1"/>
  <c r="T422" i="3"/>
  <c r="U422" i="3" s="1"/>
  <c r="U427" i="3"/>
  <c r="T542" i="3"/>
  <c r="U542" i="3" s="1"/>
  <c r="U586" i="3"/>
  <c r="T27" i="3"/>
  <c r="U27" i="3" s="1"/>
  <c r="U161" i="3"/>
  <c r="W192" i="3"/>
  <c r="S192" i="3"/>
  <c r="S245" i="3"/>
  <c r="W245" i="3"/>
  <c r="T287" i="3"/>
  <c r="U287" i="3" s="1"/>
  <c r="U314" i="3"/>
  <c r="T314" i="3"/>
  <c r="T427" i="3"/>
  <c r="T438" i="3"/>
  <c r="U438" i="3" s="1"/>
  <c r="T444" i="3"/>
  <c r="W454" i="3"/>
  <c r="T482" i="3"/>
  <c r="U482" i="3" s="1"/>
  <c r="T558" i="3"/>
  <c r="U558" i="3" s="1"/>
  <c r="T564" i="3"/>
  <c r="W118" i="3"/>
  <c r="W129" i="3"/>
  <c r="S129" i="3"/>
  <c r="T135" i="3"/>
  <c r="U135" i="3" s="1"/>
  <c r="T156" i="3"/>
  <c r="U156" i="3" s="1"/>
  <c r="T187" i="3"/>
  <c r="U187" i="3" s="1"/>
  <c r="T198" i="3"/>
  <c r="U198" i="3" s="1"/>
  <c r="U230" i="3"/>
  <c r="W251" i="3"/>
  <c r="S251" i="3"/>
  <c r="T261" i="3"/>
  <c r="U261" i="3" s="1"/>
  <c r="T272" i="3"/>
  <c r="U272" i="3" s="1"/>
  <c r="S509" i="3"/>
  <c r="W509" i="3"/>
  <c r="W88" i="3"/>
  <c r="S88" i="3"/>
  <c r="W135" i="3"/>
  <c r="U209" i="3"/>
  <c r="U235" i="3"/>
  <c r="W240" i="3"/>
  <c r="S240" i="3"/>
  <c r="S293" i="3"/>
  <c r="W293" i="3"/>
  <c r="T335" i="3"/>
  <c r="U335" i="3" s="1"/>
  <c r="T362" i="3"/>
  <c r="U362" i="3" s="1"/>
  <c r="U488" i="3"/>
  <c r="T488" i="3"/>
  <c r="T16" i="3"/>
  <c r="T84" i="3"/>
  <c r="T98" i="3"/>
  <c r="U98" i="3" s="1"/>
  <c r="W166" i="3"/>
  <c r="W177" i="3"/>
  <c r="S177" i="3"/>
  <c r="T183" i="3"/>
  <c r="U183" i="3" s="1"/>
  <c r="T204" i="3"/>
  <c r="U204" i="3" s="1"/>
  <c r="T235" i="3"/>
  <c r="T246" i="3"/>
  <c r="U246" i="3" s="1"/>
  <c r="U278" i="3"/>
  <c r="W299" i="3"/>
  <c r="S299" i="3"/>
  <c r="T309" i="3"/>
  <c r="U309" i="3" s="1"/>
  <c r="T320" i="3"/>
  <c r="U320" i="3" s="1"/>
  <c r="S389" i="3"/>
  <c r="W389" i="3"/>
  <c r="T423" i="3"/>
  <c r="U423" i="3" s="1"/>
  <c r="T494" i="3"/>
  <c r="U494" i="3" s="1"/>
  <c r="U499" i="3"/>
  <c r="W537" i="3"/>
  <c r="S537" i="3"/>
  <c r="T543" i="3"/>
  <c r="U543" i="3" s="1"/>
  <c r="U4" i="3"/>
  <c r="T8" i="3"/>
  <c r="U8" i="3" s="1"/>
  <c r="T12" i="3"/>
  <c r="U12" i="3" s="1"/>
  <c r="U32" i="3"/>
  <c r="T40" i="3"/>
  <c r="U76" i="3"/>
  <c r="U119" i="3"/>
  <c r="U130" i="3"/>
  <c r="W183" i="3"/>
  <c r="S341" i="3"/>
  <c r="W341" i="3"/>
  <c r="W4" i="3"/>
  <c r="U24" i="3"/>
  <c r="U28" i="3"/>
  <c r="T32" i="3"/>
  <c r="T36" i="3"/>
  <c r="U36" i="3" s="1"/>
  <c r="T48" i="3"/>
  <c r="U56" i="3"/>
  <c r="W64" i="3"/>
  <c r="S64" i="3"/>
  <c r="U72" i="3"/>
  <c r="W76" i="3"/>
  <c r="T119" i="3"/>
  <c r="S146" i="3"/>
  <c r="W214" i="3"/>
  <c r="W225" i="3"/>
  <c r="S225" i="3"/>
  <c r="T231" i="3"/>
  <c r="U231" i="3" s="1"/>
  <c r="T252" i="3"/>
  <c r="U252" i="3" s="1"/>
  <c r="U262" i="3"/>
  <c r="T283" i="3"/>
  <c r="U283" i="3" s="1"/>
  <c r="U294" i="3"/>
  <c r="T294" i="3"/>
  <c r="U326" i="3"/>
  <c r="W347" i="3"/>
  <c r="S347" i="3"/>
  <c r="T357" i="3"/>
  <c r="U357" i="3" s="1"/>
  <c r="T374" i="3"/>
  <c r="U374" i="3" s="1"/>
  <c r="U379" i="3"/>
  <c r="W467" i="3"/>
  <c r="S467" i="3"/>
  <c r="U516" i="3"/>
  <c r="W526" i="3"/>
  <c r="U548" i="3"/>
  <c r="T51" i="3"/>
  <c r="U51" i="3" s="1"/>
  <c r="U59" i="3"/>
  <c r="W515" i="3"/>
  <c r="S515" i="3"/>
  <c r="T547" i="3"/>
  <c r="U547" i="3" s="1"/>
  <c r="W395" i="3"/>
  <c r="S395" i="3"/>
  <c r="T80" i="3"/>
  <c r="U80" i="3" s="1"/>
  <c r="T93" i="3"/>
  <c r="U93" i="3" s="1"/>
  <c r="W288" i="3"/>
  <c r="S288" i="3"/>
  <c r="T368" i="3"/>
  <c r="U368" i="3" s="1"/>
  <c r="W417" i="3"/>
  <c r="S417" i="3"/>
  <c r="W423" i="3"/>
  <c r="T499" i="3"/>
  <c r="T510" i="3"/>
  <c r="U510" i="3" s="1"/>
  <c r="W543" i="3"/>
  <c r="U581" i="3"/>
  <c r="U52" i="3"/>
  <c r="T104" i="3"/>
  <c r="U104" i="3" s="1"/>
  <c r="U167" i="3"/>
  <c r="U178" i="3"/>
  <c r="U188" i="3"/>
  <c r="U305" i="3"/>
  <c r="U331" i="3"/>
  <c r="W336" i="3"/>
  <c r="S336" i="3"/>
  <c r="T390" i="3"/>
  <c r="U390" i="3" s="1"/>
  <c r="T434" i="3"/>
  <c r="U434" i="3" s="1"/>
  <c r="S461" i="3"/>
  <c r="W461" i="3"/>
  <c r="U473" i="3"/>
  <c r="U538" i="3"/>
  <c r="U554" i="3"/>
  <c r="T554" i="3"/>
  <c r="T588" i="3"/>
  <c r="U588" i="3" s="1"/>
  <c r="W52" i="3"/>
  <c r="S125" i="3"/>
  <c r="W125" i="3"/>
  <c r="T167" i="3"/>
  <c r="T184" i="3"/>
  <c r="U184" i="3" s="1"/>
  <c r="W262" i="3"/>
  <c r="W273" i="3"/>
  <c r="S273" i="3"/>
  <c r="U279" i="3"/>
  <c r="T279" i="3"/>
  <c r="T300" i="3"/>
  <c r="U310" i="3"/>
  <c r="T331" i="3"/>
  <c r="T342" i="3"/>
  <c r="U342" i="3" s="1"/>
  <c r="U424" i="3"/>
  <c r="W489" i="3"/>
  <c r="S489" i="3"/>
  <c r="U495" i="3"/>
  <c r="T495" i="3"/>
  <c r="U582" i="3"/>
  <c r="U110" i="3"/>
  <c r="W131" i="3"/>
  <c r="S131" i="3"/>
  <c r="T141" i="3"/>
  <c r="U141" i="3" s="1"/>
  <c r="T152" i="3"/>
  <c r="U152" i="3" s="1"/>
  <c r="U215" i="3"/>
  <c r="U226" i="3"/>
  <c r="U236" i="3"/>
  <c r="U353" i="3"/>
  <c r="T440" i="3"/>
  <c r="U440" i="3" s="1"/>
  <c r="T446" i="3"/>
  <c r="U446" i="3" s="1"/>
  <c r="U451" i="3"/>
  <c r="W495" i="3"/>
  <c r="U527" i="3"/>
  <c r="T560" i="3"/>
  <c r="U560" i="3" s="1"/>
  <c r="U571" i="3"/>
  <c r="U598" i="3"/>
  <c r="S595" i="3"/>
  <c r="W581" i="3"/>
  <c r="S585" i="3"/>
  <c r="S599" i="3"/>
  <c r="S109" i="3"/>
  <c r="S133" i="3"/>
  <c r="S157" i="3"/>
  <c r="S181" i="3"/>
  <c r="S205" i="3"/>
  <c r="S229" i="3"/>
  <c r="I8" i="2" s="1"/>
  <c r="S253" i="3"/>
  <c r="S277" i="3"/>
  <c r="S301" i="3"/>
  <c r="S325" i="3"/>
  <c r="S349" i="3"/>
  <c r="S373" i="3"/>
  <c r="S397" i="3"/>
  <c r="S421" i="3"/>
  <c r="S445" i="3"/>
  <c r="S469" i="3"/>
  <c r="S493" i="3"/>
  <c r="S517" i="3"/>
  <c r="S541" i="3"/>
  <c r="S565" i="3"/>
  <c r="T582" i="3"/>
  <c r="S589" i="3"/>
  <c r="S99" i="3"/>
  <c r="T116" i="3"/>
  <c r="U116" i="3" s="1"/>
  <c r="S123" i="3"/>
  <c r="T140" i="3"/>
  <c r="U140" i="3" s="1"/>
  <c r="S147" i="3"/>
  <c r="T164" i="3"/>
  <c r="S171" i="3"/>
  <c r="T188" i="3"/>
  <c r="S195" i="3"/>
  <c r="T212" i="3"/>
  <c r="U212" i="3" s="1"/>
  <c r="S219" i="3"/>
  <c r="T236" i="3"/>
  <c r="S243" i="3"/>
  <c r="T260" i="3"/>
  <c r="S267" i="3"/>
  <c r="T284" i="3"/>
  <c r="U284" i="3" s="1"/>
  <c r="S291" i="3"/>
  <c r="T308" i="3"/>
  <c r="U308" i="3" s="1"/>
  <c r="S315" i="3"/>
  <c r="T332" i="3"/>
  <c r="S339" i="3"/>
  <c r="T356" i="3"/>
  <c r="U356" i="3" s="1"/>
  <c r="S363" i="3"/>
  <c r="T380" i="3"/>
  <c r="S387" i="3"/>
  <c r="T404" i="3"/>
  <c r="U404" i="3" s="1"/>
  <c r="S411" i="3"/>
  <c r="T428" i="3"/>
  <c r="U428" i="3" s="1"/>
  <c r="S435" i="3"/>
  <c r="T452" i="3"/>
  <c r="U452" i="3" s="1"/>
  <c r="S459" i="3"/>
  <c r="T476" i="3"/>
  <c r="U476" i="3" s="1"/>
  <c r="S483" i="3"/>
  <c r="T500" i="3"/>
  <c r="U500" i="3" s="1"/>
  <c r="S507" i="3"/>
  <c r="T524" i="3"/>
  <c r="S531" i="3"/>
  <c r="T548" i="3"/>
  <c r="S555" i="3"/>
  <c r="T572" i="3"/>
  <c r="S579" i="3"/>
  <c r="T596" i="3"/>
  <c r="T106" i="3"/>
  <c r="U106" i="3" s="1"/>
  <c r="T130" i="3"/>
  <c r="T154" i="3"/>
  <c r="T178" i="3"/>
  <c r="T202" i="3"/>
  <c r="T226" i="3"/>
  <c r="T250" i="3"/>
  <c r="T274" i="3"/>
  <c r="U274" i="3" s="1"/>
  <c r="T298" i="3"/>
  <c r="T322" i="3"/>
  <c r="T346" i="3"/>
  <c r="U346" i="3" s="1"/>
  <c r="T370" i="3"/>
  <c r="T394" i="3"/>
  <c r="U394" i="3" s="1"/>
  <c r="T418" i="3"/>
  <c r="U418" i="3" s="1"/>
  <c r="T442" i="3"/>
  <c r="U442" i="3" s="1"/>
  <c r="T466" i="3"/>
  <c r="U466" i="3" s="1"/>
  <c r="T490" i="3"/>
  <c r="U490" i="3" s="1"/>
  <c r="T514" i="3"/>
  <c r="T538" i="3"/>
  <c r="T562" i="3"/>
  <c r="T586" i="3"/>
  <c r="T113" i="3"/>
  <c r="T137" i="3"/>
  <c r="U137" i="3" s="1"/>
  <c r="T161" i="3"/>
  <c r="T185" i="3"/>
  <c r="U185" i="3" s="1"/>
  <c r="T209" i="3"/>
  <c r="T233" i="3"/>
  <c r="U233" i="3" s="1"/>
  <c r="T257" i="3"/>
  <c r="U257" i="3" s="1"/>
  <c r="T281" i="3"/>
  <c r="U281" i="3" s="1"/>
  <c r="T305" i="3"/>
  <c r="T329" i="3"/>
  <c r="T353" i="3"/>
  <c r="S360" i="3"/>
  <c r="T377" i="3"/>
  <c r="S384" i="3"/>
  <c r="T401" i="3"/>
  <c r="U401" i="3" s="1"/>
  <c r="S408" i="3"/>
  <c r="T425" i="3"/>
  <c r="U425" i="3" s="1"/>
  <c r="S432" i="3"/>
  <c r="T449" i="3"/>
  <c r="U449" i="3" s="1"/>
  <c r="S456" i="3"/>
  <c r="T473" i="3"/>
  <c r="S480" i="3"/>
  <c r="T497" i="3"/>
  <c r="S504" i="3"/>
  <c r="T521" i="3"/>
  <c r="U521" i="3" s="1"/>
  <c r="S528" i="3"/>
  <c r="T545" i="3"/>
  <c r="S552" i="3"/>
  <c r="T569" i="3"/>
  <c r="S576" i="3"/>
  <c r="T593" i="3"/>
  <c r="U593" i="3" s="1"/>
  <c r="S600" i="3"/>
  <c r="S103" i="3"/>
  <c r="S127" i="3"/>
  <c r="S151" i="3"/>
  <c r="S175" i="3"/>
  <c r="S199" i="3"/>
  <c r="S223" i="3"/>
  <c r="S247" i="3"/>
  <c r="S271" i="3"/>
  <c r="S295" i="3"/>
  <c r="S319" i="3"/>
  <c r="S343" i="3"/>
  <c r="S367" i="3"/>
  <c r="S391" i="3"/>
  <c r="S415" i="3"/>
  <c r="S439" i="3"/>
  <c r="S463" i="3"/>
  <c r="S487" i="3"/>
  <c r="S511" i="3"/>
  <c r="S535" i="3"/>
  <c r="S559" i="3"/>
  <c r="S583" i="3"/>
  <c r="T381" i="3"/>
  <c r="U381" i="3" s="1"/>
  <c r="T405" i="3"/>
  <c r="U405" i="3" s="1"/>
  <c r="T429" i="3"/>
  <c r="U429" i="3" s="1"/>
  <c r="T453" i="3"/>
  <c r="T477" i="3"/>
  <c r="U477" i="3" s="1"/>
  <c r="T501" i="3"/>
  <c r="T525" i="3"/>
  <c r="U525" i="3" s="1"/>
  <c r="T549" i="3"/>
  <c r="U549" i="3" s="1"/>
  <c r="T573" i="3"/>
  <c r="U573" i="3" s="1"/>
  <c r="T597" i="3"/>
  <c r="U597" i="3" s="1"/>
  <c r="S587" i="3"/>
  <c r="S97" i="3"/>
  <c r="S121" i="3"/>
  <c r="S145" i="3"/>
  <c r="S169" i="3"/>
  <c r="S193" i="3"/>
  <c r="S217" i="3"/>
  <c r="S241" i="3"/>
  <c r="S265" i="3"/>
  <c r="S289" i="3"/>
  <c r="S313" i="3"/>
  <c r="S337" i="3"/>
  <c r="S361" i="3"/>
  <c r="S385" i="3"/>
  <c r="S409" i="3"/>
  <c r="S433" i="3"/>
  <c r="S457" i="3"/>
  <c r="S481" i="3"/>
  <c r="S505" i="3"/>
  <c r="S529" i="3"/>
  <c r="S553" i="3"/>
  <c r="S577" i="3"/>
  <c r="T594" i="3"/>
  <c r="U594" i="3" s="1"/>
  <c r="S601" i="3"/>
  <c r="T584" i="3"/>
  <c r="U584" i="3" s="1"/>
  <c r="T219" i="3" l="1"/>
  <c r="U219" i="3" s="1"/>
  <c r="T145" i="3"/>
  <c r="U145" i="3" s="1"/>
  <c r="T395" i="3"/>
  <c r="U395" i="3" s="1"/>
  <c r="T321" i="3"/>
  <c r="U321" i="3"/>
  <c r="T97" i="3"/>
  <c r="U97" i="3" s="1"/>
  <c r="T245" i="3"/>
  <c r="U245" i="3" s="1"/>
  <c r="T275" i="3"/>
  <c r="U275" i="3" s="1"/>
  <c r="T587" i="3"/>
  <c r="U587" i="3" s="1"/>
  <c r="T485" i="3"/>
  <c r="U485" i="3" s="1"/>
  <c r="T181" i="3"/>
  <c r="U181" i="3" s="1"/>
  <c r="T293" i="3"/>
  <c r="U293" i="3"/>
  <c r="U419" i="3"/>
  <c r="T419" i="3"/>
  <c r="T240" i="3"/>
  <c r="U240" i="3" s="1"/>
  <c r="T577" i="3"/>
  <c r="U577" i="3" s="1"/>
  <c r="T75" i="3"/>
  <c r="U75" i="3" s="1"/>
  <c r="T122" i="3"/>
  <c r="T360" i="3"/>
  <c r="U360" i="3" s="1"/>
  <c r="T109" i="3"/>
  <c r="U109" i="3" s="1"/>
  <c r="T88" i="3"/>
  <c r="U88" i="3"/>
  <c r="T63" i="3"/>
  <c r="U63" i="3"/>
  <c r="T432" i="3"/>
  <c r="U432" i="3" s="1"/>
  <c r="T195" i="3"/>
  <c r="U195" i="3" s="1"/>
  <c r="T441" i="3"/>
  <c r="U441" i="3" s="1"/>
  <c r="T295" i="3"/>
  <c r="U295" i="3" s="1"/>
  <c r="T179" i="3"/>
  <c r="U179" i="3" s="1"/>
  <c r="T601" i="3"/>
  <c r="U601" i="3" s="1"/>
  <c r="T384" i="3"/>
  <c r="U384" i="3" s="1"/>
  <c r="T157" i="3"/>
  <c r="U157" i="3" s="1"/>
  <c r="T173" i="3"/>
  <c r="U173" i="3" s="1"/>
  <c r="T120" i="3"/>
  <c r="U120" i="3" s="1"/>
  <c r="T175" i="3"/>
  <c r="U175" i="3"/>
  <c r="T123" i="3"/>
  <c r="U123" i="3" s="1"/>
  <c r="T269" i="3"/>
  <c r="U269" i="3" s="1"/>
  <c r="T599" i="3"/>
  <c r="U599" i="3" s="1"/>
  <c r="T146" i="3"/>
  <c r="U146" i="3" s="1"/>
  <c r="U216" i="3"/>
  <c r="T216" i="3"/>
  <c r="T505" i="3"/>
  <c r="U505" i="3" s="1"/>
  <c r="T127" i="3"/>
  <c r="U127" i="3"/>
  <c r="T387" i="3"/>
  <c r="U387" i="3" s="1"/>
  <c r="T99" i="3"/>
  <c r="U99" i="3" s="1"/>
  <c r="T585" i="3"/>
  <c r="U585" i="3" s="1"/>
  <c r="I22" i="2"/>
  <c r="T107" i="3"/>
  <c r="U107" i="3" s="1"/>
  <c r="T227" i="3"/>
  <c r="U227" i="3" s="1"/>
  <c r="T481" i="3"/>
  <c r="U481" i="3" s="1"/>
  <c r="T103" i="3"/>
  <c r="U103" i="3"/>
  <c r="T589" i="3"/>
  <c r="U589" i="3" s="1"/>
  <c r="U457" i="3"/>
  <c r="T457" i="3"/>
  <c r="T600" i="3"/>
  <c r="U600" i="3" s="1"/>
  <c r="T363" i="3"/>
  <c r="U363" i="3" s="1"/>
  <c r="T595" i="3"/>
  <c r="U595" i="3" s="1"/>
  <c r="T467" i="3"/>
  <c r="U467" i="3" s="1"/>
  <c r="T557" i="3"/>
  <c r="U557" i="3" s="1"/>
  <c r="T39" i="3"/>
  <c r="U39" i="3" s="1"/>
  <c r="T149" i="3"/>
  <c r="U149" i="3" s="1"/>
  <c r="T249" i="3"/>
  <c r="U249" i="3"/>
  <c r="T66" i="3"/>
  <c r="U66" i="3" s="1"/>
  <c r="T153" i="3"/>
  <c r="U153" i="3"/>
  <c r="T539" i="3"/>
  <c r="U539" i="3" s="1"/>
  <c r="C9" i="2"/>
  <c r="D9" i="2" s="1"/>
  <c r="D7" i="1" s="1"/>
  <c r="D6" i="2"/>
  <c r="B11" i="1" s="1"/>
  <c r="T169" i="3"/>
  <c r="U169" i="3" s="1"/>
  <c r="T144" i="3"/>
  <c r="U144" i="3" s="1"/>
  <c r="T53" i="3"/>
  <c r="U53" i="3" s="1"/>
  <c r="T343" i="3"/>
  <c r="U343" i="3"/>
  <c r="T273" i="3"/>
  <c r="U273" i="3"/>
  <c r="U229" i="3"/>
  <c r="T229" i="3"/>
  <c r="T271" i="3"/>
  <c r="U271" i="3"/>
  <c r="T459" i="3"/>
  <c r="U459" i="3" s="1"/>
  <c r="T205" i="3"/>
  <c r="U205" i="3" s="1"/>
  <c r="T515" i="3"/>
  <c r="U515" i="3" s="1"/>
  <c r="T192" i="3"/>
  <c r="U192" i="3" s="1"/>
  <c r="T297" i="3"/>
  <c r="U297" i="3" s="1"/>
  <c r="T365" i="3"/>
  <c r="U365" i="3" s="1"/>
  <c r="T201" i="3"/>
  <c r="U201" i="3"/>
  <c r="T533" i="3"/>
  <c r="U533" i="3" s="1"/>
  <c r="T247" i="3"/>
  <c r="U247" i="3"/>
  <c r="T223" i="3"/>
  <c r="U223" i="3"/>
  <c r="U435" i="3"/>
  <c r="T435" i="3"/>
  <c r="T155" i="3"/>
  <c r="U155" i="3" s="1"/>
  <c r="T133" i="3"/>
  <c r="U133" i="3" s="1"/>
  <c r="T411" i="3"/>
  <c r="U411" i="3" s="1"/>
  <c r="T3" i="3"/>
  <c r="J15" i="2" s="1"/>
  <c r="K15" i="2" s="1"/>
  <c r="I15" i="2"/>
  <c r="I6" i="2"/>
  <c r="I9" i="2" s="1"/>
  <c r="U42" i="3"/>
  <c r="T42" i="3"/>
  <c r="I26" i="2"/>
  <c r="C23" i="1" s="1"/>
  <c r="T33" i="3"/>
  <c r="U33" i="3" s="1"/>
  <c r="T529" i="3"/>
  <c r="U529" i="3" s="1"/>
  <c r="T151" i="3"/>
  <c r="U151" i="3"/>
  <c r="T433" i="3"/>
  <c r="U433" i="3" s="1"/>
  <c r="U565" i="3"/>
  <c r="T565" i="3"/>
  <c r="T64" i="3"/>
  <c r="U64" i="3" s="1"/>
  <c r="T177" i="3"/>
  <c r="U177" i="3"/>
  <c r="T11" i="3"/>
  <c r="U11" i="3"/>
  <c r="I14" i="2"/>
  <c r="T513" i="3"/>
  <c r="U513" i="3" s="1"/>
  <c r="T90" i="3"/>
  <c r="U90" i="3" s="1"/>
  <c r="U339" i="3"/>
  <c r="T339" i="3"/>
  <c r="T417" i="3"/>
  <c r="U417" i="3" s="1"/>
  <c r="B38" i="2"/>
  <c r="T491" i="3"/>
  <c r="U491" i="3" s="1"/>
  <c r="T221" i="3"/>
  <c r="U221" i="3" s="1"/>
  <c r="T583" i="3"/>
  <c r="U583" i="3" s="1"/>
  <c r="U509" i="3"/>
  <c r="T509" i="3"/>
  <c r="T552" i="3"/>
  <c r="U552" i="3" s="1"/>
  <c r="T337" i="3"/>
  <c r="U337" i="3" s="1"/>
  <c r="T469" i="3"/>
  <c r="U469" i="3" s="1"/>
  <c r="T461" i="3"/>
  <c r="U461" i="3"/>
  <c r="T313" i="3"/>
  <c r="U313" i="3" s="1"/>
  <c r="T528" i="3"/>
  <c r="U528" i="3" s="1"/>
  <c r="U291" i="3"/>
  <c r="T291" i="3"/>
  <c r="T323" i="3"/>
  <c r="U323" i="3" s="1"/>
  <c r="T369" i="3"/>
  <c r="U369" i="3"/>
  <c r="C17" i="2"/>
  <c r="D17" i="2" s="1"/>
  <c r="T289" i="3"/>
  <c r="U289" i="3" s="1"/>
  <c r="T421" i="3"/>
  <c r="U421" i="3" s="1"/>
  <c r="U397" i="3"/>
  <c r="T397" i="3"/>
  <c r="T561" i="3"/>
  <c r="U561" i="3" s="1"/>
  <c r="T57" i="3"/>
  <c r="U57" i="3" s="1"/>
  <c r="I16" i="2"/>
  <c r="T241" i="3"/>
  <c r="U241" i="3" s="1"/>
  <c r="U439" i="3"/>
  <c r="T439" i="3"/>
  <c r="T373" i="3"/>
  <c r="U373" i="3" s="1"/>
  <c r="T345" i="3"/>
  <c r="U345" i="3"/>
  <c r="T312" i="3"/>
  <c r="U312" i="3" s="1"/>
  <c r="U5" i="3"/>
  <c r="U456" i="3"/>
  <c r="T456" i="3"/>
  <c r="T301" i="3"/>
  <c r="U301" i="3" s="1"/>
  <c r="T251" i="3"/>
  <c r="U251" i="3" s="1"/>
  <c r="T413" i="3"/>
  <c r="U413" i="3" s="1"/>
  <c r="T277" i="3"/>
  <c r="U277" i="3" s="1"/>
  <c r="T121" i="3"/>
  <c r="U121" i="3" s="1"/>
  <c r="U483" i="3"/>
  <c r="T483" i="3"/>
  <c r="T197" i="3"/>
  <c r="U197" i="3" s="1"/>
  <c r="T408" i="3"/>
  <c r="U408" i="3" s="1"/>
  <c r="T171" i="3"/>
  <c r="U171" i="3" s="1"/>
  <c r="T299" i="3"/>
  <c r="U299" i="3" s="1"/>
  <c r="T409" i="3"/>
  <c r="U409" i="3" s="1"/>
  <c r="U563" i="3"/>
  <c r="T563" i="3"/>
  <c r="T385" i="3"/>
  <c r="U385" i="3" s="1"/>
  <c r="T517" i="3"/>
  <c r="U517" i="3" s="1"/>
  <c r="T83" i="3"/>
  <c r="U83" i="3"/>
  <c r="T317" i="3"/>
  <c r="U317" i="3" s="1"/>
  <c r="T168" i="3"/>
  <c r="U168" i="3" s="1"/>
  <c r="U361" i="3"/>
  <c r="T361" i="3"/>
  <c r="T493" i="3"/>
  <c r="U493" i="3" s="1"/>
  <c r="T264" i="3"/>
  <c r="U264" i="3" s="1"/>
  <c r="T445" i="3"/>
  <c r="U445" i="3" s="1"/>
  <c r="T288" i="3"/>
  <c r="U288" i="3" s="1"/>
  <c r="T437" i="3"/>
  <c r="U437" i="3" s="1"/>
  <c r="U43" i="3"/>
  <c r="T43" i="3"/>
  <c r="T487" i="3"/>
  <c r="U487" i="3" s="1"/>
  <c r="T443" i="3"/>
  <c r="U443" i="3" s="1"/>
  <c r="T101" i="3"/>
  <c r="U101" i="3" s="1"/>
  <c r="T371" i="3"/>
  <c r="U371" i="3" s="1"/>
  <c r="T265" i="3"/>
  <c r="U265" i="3" s="1"/>
  <c r="U504" i="3"/>
  <c r="T504" i="3"/>
  <c r="T555" i="3"/>
  <c r="U555" i="3" s="1"/>
  <c r="T347" i="3"/>
  <c r="U347" i="3" s="1"/>
  <c r="T480" i="3"/>
  <c r="U480" i="3" s="1"/>
  <c r="T336" i="3"/>
  <c r="U336" i="3" s="1"/>
  <c r="T393" i="3"/>
  <c r="U393" i="3" s="1"/>
  <c r="I24" i="2"/>
  <c r="C21" i="1" s="1"/>
  <c r="T367" i="3"/>
  <c r="U367" i="3" s="1"/>
  <c r="T507" i="3"/>
  <c r="U507" i="3" s="1"/>
  <c r="T341" i="3"/>
  <c r="U341" i="3" s="1"/>
  <c r="I27" i="2"/>
  <c r="C24" i="1" s="1"/>
  <c r="T319" i="3"/>
  <c r="U319" i="3"/>
  <c r="T253" i="3"/>
  <c r="U253" i="3" s="1"/>
  <c r="E9" i="2"/>
  <c r="F9" i="2" s="1"/>
  <c r="G7" i="1" s="1"/>
  <c r="F6" i="2"/>
  <c r="C11" i="1" s="1"/>
  <c r="T147" i="3"/>
  <c r="U147" i="3" s="1"/>
  <c r="T225" i="3"/>
  <c r="U225" i="3"/>
  <c r="T203" i="3"/>
  <c r="U203" i="3" s="1"/>
  <c r="T199" i="3"/>
  <c r="U199" i="3"/>
  <c r="T125" i="3"/>
  <c r="U125" i="3" s="1"/>
  <c r="U553" i="3"/>
  <c r="T553" i="3"/>
  <c r="T131" i="3"/>
  <c r="U131" i="3" s="1"/>
  <c r="T129" i="3"/>
  <c r="U129" i="3"/>
  <c r="T537" i="3"/>
  <c r="U537" i="3" s="1"/>
  <c r="T96" i="3"/>
  <c r="U96" i="3" s="1"/>
  <c r="T576" i="3"/>
  <c r="U576" i="3" s="1"/>
  <c r="U541" i="3"/>
  <c r="T541" i="3"/>
  <c r="T489" i="3"/>
  <c r="U489" i="3" s="1"/>
  <c r="T559" i="3"/>
  <c r="U559" i="3" s="1"/>
  <c r="T315" i="3"/>
  <c r="U315" i="3" s="1"/>
  <c r="T465" i="3"/>
  <c r="U465" i="3" s="1"/>
  <c r="T535" i="3"/>
  <c r="U535" i="3" s="1"/>
  <c r="U18" i="3"/>
  <c r="T18" i="3"/>
  <c r="T511" i="3"/>
  <c r="U511" i="3" s="1"/>
  <c r="T579" i="3"/>
  <c r="U579" i="3" s="1"/>
  <c r="T591" i="3"/>
  <c r="U591" i="3" s="1"/>
  <c r="J25" i="2"/>
  <c r="K25" i="2" s="1"/>
  <c r="B22" i="1" s="1"/>
  <c r="T105" i="3"/>
  <c r="U105" i="3"/>
  <c r="T463" i="3"/>
  <c r="U463" i="3" s="1"/>
  <c r="U267" i="3"/>
  <c r="T267" i="3"/>
  <c r="T217" i="3"/>
  <c r="U217" i="3" s="1"/>
  <c r="T415" i="3"/>
  <c r="U415" i="3" s="1"/>
  <c r="T531" i="3"/>
  <c r="U531" i="3" s="1"/>
  <c r="T243" i="3"/>
  <c r="U243" i="3" s="1"/>
  <c r="U349" i="3"/>
  <c r="T349" i="3"/>
  <c r="T193" i="3"/>
  <c r="U193" i="3" s="1"/>
  <c r="T391" i="3"/>
  <c r="U391" i="3" s="1"/>
  <c r="T325" i="3"/>
  <c r="U325" i="3" s="1"/>
  <c r="T389" i="3"/>
  <c r="U389" i="3" s="1"/>
  <c r="I7" i="2"/>
  <c r="J14" i="2" l="1"/>
  <c r="J22" i="2"/>
  <c r="J24" i="2"/>
  <c r="K24" i="2" s="1"/>
  <c r="B21" i="1" s="1"/>
  <c r="J27" i="2"/>
  <c r="K27" i="2" s="1"/>
  <c r="B24" i="1" s="1"/>
  <c r="I28" i="2"/>
  <c r="C19" i="1"/>
  <c r="I17" i="2"/>
  <c r="J16" i="2"/>
  <c r="K16" i="2" s="1"/>
  <c r="J7" i="2"/>
  <c r="K7" i="2" s="1"/>
  <c r="J6" i="2"/>
  <c r="U122" i="3"/>
  <c r="U3" i="3"/>
  <c r="J23" i="2"/>
  <c r="K23" i="2" s="1"/>
  <c r="B20" i="1" s="1"/>
  <c r="J26" i="2"/>
  <c r="K26" i="2" s="1"/>
  <c r="B23" i="1" s="1"/>
  <c r="J8" i="2"/>
  <c r="K8" i="2" s="1"/>
  <c r="K6" i="2" l="1"/>
  <c r="J9" i="2"/>
  <c r="K9" i="2" s="1"/>
  <c r="M7" i="1" s="1"/>
  <c r="J28" i="2"/>
  <c r="K28" i="2" s="1"/>
  <c r="K22" i="2"/>
  <c r="B19" i="1" s="1"/>
  <c r="J17" i="2"/>
  <c r="K17" i="2" s="1"/>
  <c r="K14" i="2"/>
</calcChain>
</file>

<file path=xl/sharedStrings.xml><?xml version="1.0" encoding="utf-8"?>
<sst xmlns="http://schemas.openxmlformats.org/spreadsheetml/2006/main" count="3709" uniqueCount="671">
  <si>
    <t>家电上门服务｜履约监控看板</t>
  </si>
  <si>
    <t>600 条合成工单 · 2026-09-30 截止 · 北京时间</t>
  </si>
  <si>
    <t>工单量</t>
  </si>
  <si>
    <t>准时上门率</t>
  </si>
  <si>
    <t>按期完工率</t>
  </si>
  <si>
    <t>投诉率</t>
  </si>
  <si>
    <t>异常闭环率</t>
  </si>
  <si>
    <t>城市</t>
  </si>
  <si>
    <t>站点</t>
  </si>
  <si>
    <t>异常单数</t>
  </si>
  <si>
    <t>待关注：WH02 上门异常 17/99；CQ01 完工异常 13/79。</t>
  </si>
  <si>
    <t>站点差异是生成器预设的练习情景，不能推断真实根因或改善成效。</t>
  </si>
  <si>
    <t>口径：准时上门／按期完工／投诉以 600 单为分母；闭环以 178 条异常为分母。</t>
  </si>
  <si>
    <t>分组汇总｜履约与异常闭环</t>
  </si>
  <si>
    <t>2026-09-30 截止 · 北京时间 · 合成样本</t>
  </si>
  <si>
    <t>分组</t>
  </si>
  <si>
    <t>准时上门数</t>
  </si>
  <si>
    <t>按期完工数</t>
  </si>
  <si>
    <t>投诉数</t>
  </si>
  <si>
    <t>已闭环数</t>
  </si>
  <si>
    <t>北京</t>
  </si>
  <si>
    <t>武汉</t>
  </si>
  <si>
    <t>重庆</t>
  </si>
  <si>
    <t>合计</t>
  </si>
  <si>
    <t>安装</t>
  </si>
  <si>
    <t>维修</t>
  </si>
  <si>
    <t>拆旧</t>
  </si>
  <si>
    <t>BJ01</t>
  </si>
  <si>
    <t>BJ02</t>
  </si>
  <si>
    <t>WH01</t>
  </si>
  <si>
    <t>WH02</t>
  </si>
  <si>
    <t>CQ01</t>
  </si>
  <si>
    <t>CQ02</t>
  </si>
  <si>
    <t>主要异常</t>
  </si>
  <si>
    <t>无</t>
  </si>
  <si>
    <t>派单超时</t>
  </si>
  <si>
    <t>上门超时</t>
  </si>
  <si>
    <t>完工超时</t>
  </si>
  <si>
    <t>源标签一致数</t>
  </si>
  <si>
    <t>分母：准时、按期、投诉均为全部有效工单；闭环率分母仅为异常单。</t>
  </si>
  <si>
    <t>原始时间改动后计算异常类型会联动；“源标签一致数”低于 600 时应核查原始标签。</t>
  </si>
  <si>
    <t>order_id</t>
  </si>
  <si>
    <t>city</t>
  </si>
  <si>
    <t>service_type</t>
  </si>
  <si>
    <t>site_id</t>
  </si>
  <si>
    <t>created_at</t>
  </si>
  <si>
    <t>dispatched_at</t>
  </si>
  <si>
    <t>appointment_deadline</t>
  </si>
  <si>
    <t>arrived_at</t>
  </si>
  <si>
    <t>completion_deadline</t>
  </si>
  <si>
    <t>completed_at</t>
  </si>
  <si>
    <t>order_status</t>
  </si>
  <si>
    <t>primary_exception</t>
  </si>
  <si>
    <t>exception_detected_at</t>
  </si>
  <si>
    <t>exception_closed_at</t>
  </si>
  <si>
    <t>complaint_flag</t>
  </si>
  <si>
    <t>rating</t>
  </si>
  <si>
    <t>准时上门标记</t>
  </si>
  <si>
    <t>按期完工标记</t>
  </si>
  <si>
    <t>异常标记</t>
  </si>
  <si>
    <t>已闭环标记</t>
  </si>
  <si>
    <t>待闭环标记</t>
  </si>
  <si>
    <t>计算异常类型</t>
  </si>
  <si>
    <t>源标签一致</t>
  </si>
  <si>
    <t>来源：03_模拟工单.csv；600 条合成工单，模拟规则见 03_模拟数据说明与验收.md</t>
  </si>
  <si>
    <t>HS2026080001</t>
  </si>
  <si>
    <t>已完工</t>
  </si>
  <si>
    <t>A:P 为原始字段；Q:W 为公式计算列。时间修改后异常类型会重算，W 列提示源标签是否同步。</t>
  </si>
  <si>
    <t>HS2026080002</t>
  </si>
  <si>
    <t>HS2026080003</t>
  </si>
  <si>
    <t>HS2026080004</t>
  </si>
  <si>
    <t>HS2026080005</t>
  </si>
  <si>
    <t>HS2026080006</t>
  </si>
  <si>
    <t>未完工</t>
  </si>
  <si>
    <t>HS2026080007</t>
  </si>
  <si>
    <t>HS2026080008</t>
  </si>
  <si>
    <t>HS2026080009</t>
  </si>
  <si>
    <t>HS2026080010</t>
  </si>
  <si>
    <t>HS2026080011</t>
  </si>
  <si>
    <t>HS2026080012</t>
  </si>
  <si>
    <t>HS2026080013</t>
  </si>
  <si>
    <t>HS2026080014</t>
  </si>
  <si>
    <t>HS2026080015</t>
  </si>
  <si>
    <t>HS2026080016</t>
  </si>
  <si>
    <t>HS2026080017</t>
  </si>
  <si>
    <t>HS2026080018</t>
  </si>
  <si>
    <t>HS2026080019</t>
  </si>
  <si>
    <t>HS2026080020</t>
  </si>
  <si>
    <t>HS2026080021</t>
  </si>
  <si>
    <t>HS2026080022</t>
  </si>
  <si>
    <t>HS2026080023</t>
  </si>
  <si>
    <t>HS2026080024</t>
  </si>
  <si>
    <t>HS2026080025</t>
  </si>
  <si>
    <t>HS2026080026</t>
  </si>
  <si>
    <t>HS2026080027</t>
  </si>
  <si>
    <t>HS2026080028</t>
  </si>
  <si>
    <t>HS2026080029</t>
  </si>
  <si>
    <t>HS2026080030</t>
  </si>
  <si>
    <t>HS2026080031</t>
  </si>
  <si>
    <t>HS2026080032</t>
  </si>
  <si>
    <t>HS2026080033</t>
  </si>
  <si>
    <t>HS2026080034</t>
  </si>
  <si>
    <t>HS2026080035</t>
  </si>
  <si>
    <t>HS2026080036</t>
  </si>
  <si>
    <t>HS2026080037</t>
  </si>
  <si>
    <t>HS2026080038</t>
  </si>
  <si>
    <t>HS2026080039</t>
  </si>
  <si>
    <t>HS2026080040</t>
  </si>
  <si>
    <t>HS2026080041</t>
  </si>
  <si>
    <t>HS2026080042</t>
  </si>
  <si>
    <t>HS2026080043</t>
  </si>
  <si>
    <t>HS2026080044</t>
  </si>
  <si>
    <t>HS2026080045</t>
  </si>
  <si>
    <t>HS2026080046</t>
  </si>
  <si>
    <t>HS2026080047</t>
  </si>
  <si>
    <t>HS2026080048</t>
  </si>
  <si>
    <t>HS2026080049</t>
  </si>
  <si>
    <t>HS2026080050</t>
  </si>
  <si>
    <t>HS2026080051</t>
  </si>
  <si>
    <t>HS2026080052</t>
  </si>
  <si>
    <t>HS2026080053</t>
  </si>
  <si>
    <t>HS2026080054</t>
  </si>
  <si>
    <t>HS2026080055</t>
  </si>
  <si>
    <t>HS2026080056</t>
  </si>
  <si>
    <t>HS2026080057</t>
  </si>
  <si>
    <t>HS2026080058</t>
  </si>
  <si>
    <t>HS2026080059</t>
  </si>
  <si>
    <t>HS2026080060</t>
  </si>
  <si>
    <t>HS2026080061</t>
  </si>
  <si>
    <t>HS2026080062</t>
  </si>
  <si>
    <t>HS2026080063</t>
  </si>
  <si>
    <t>HS2026080064</t>
  </si>
  <si>
    <t>HS2026080065</t>
  </si>
  <si>
    <t>HS2026080066</t>
  </si>
  <si>
    <t>HS2026080067</t>
  </si>
  <si>
    <t>HS2026080068</t>
  </si>
  <si>
    <t>HS2026080069</t>
  </si>
  <si>
    <t>HS2026080070</t>
  </si>
  <si>
    <t>HS2026080071</t>
  </si>
  <si>
    <t>HS2026080072</t>
  </si>
  <si>
    <t>HS2026080073</t>
  </si>
  <si>
    <t>HS2026080074</t>
  </si>
  <si>
    <t>HS2026080075</t>
  </si>
  <si>
    <t>HS2026080076</t>
  </si>
  <si>
    <t>HS2026080077</t>
  </si>
  <si>
    <t>HS2026080078</t>
  </si>
  <si>
    <t>HS2026080079</t>
  </si>
  <si>
    <t>HS2026080080</t>
  </si>
  <si>
    <t>HS2026080081</t>
  </si>
  <si>
    <t>HS2026080082</t>
  </si>
  <si>
    <t>HS2026080083</t>
  </si>
  <si>
    <t>HS2026080084</t>
  </si>
  <si>
    <t>HS2026080085</t>
  </si>
  <si>
    <t>HS2026080086</t>
  </si>
  <si>
    <t>HS2026080087</t>
  </si>
  <si>
    <t>HS2026080088</t>
  </si>
  <si>
    <t>HS2026080089</t>
  </si>
  <si>
    <t>HS2026080090</t>
  </si>
  <si>
    <t>HS2026080091</t>
  </si>
  <si>
    <t>HS2026080092</t>
  </si>
  <si>
    <t>HS2026080093</t>
  </si>
  <si>
    <t>HS2026080094</t>
  </si>
  <si>
    <t>HS2026080095</t>
  </si>
  <si>
    <t>HS2026080096</t>
  </si>
  <si>
    <t>HS2026080097</t>
  </si>
  <si>
    <t>HS2026080098</t>
  </si>
  <si>
    <t>HS2026080099</t>
  </si>
  <si>
    <t>HS2026080100</t>
  </si>
  <si>
    <t>HS2026080101</t>
  </si>
  <si>
    <t>HS2026080102</t>
  </si>
  <si>
    <t>HS2026080103</t>
  </si>
  <si>
    <t>HS2026080104</t>
  </si>
  <si>
    <t>HS2026080105</t>
  </si>
  <si>
    <t>HS2026080106</t>
  </si>
  <si>
    <t>HS2026080107</t>
  </si>
  <si>
    <t>HS2026080108</t>
  </si>
  <si>
    <t>HS2026080109</t>
  </si>
  <si>
    <t>HS2026080110</t>
  </si>
  <si>
    <t>HS2026080111</t>
  </si>
  <si>
    <t>HS2026080112</t>
  </si>
  <si>
    <t>HS2026080113</t>
  </si>
  <si>
    <t>HS2026080114</t>
  </si>
  <si>
    <t>HS2026080115</t>
  </si>
  <si>
    <t>HS2026080116</t>
  </si>
  <si>
    <t>HS2026080117</t>
  </si>
  <si>
    <t>HS2026080118</t>
  </si>
  <si>
    <t>HS2026080119</t>
  </si>
  <si>
    <t>HS2026080120</t>
  </si>
  <si>
    <t>HS2026080121</t>
  </si>
  <si>
    <t>HS2026080122</t>
  </si>
  <si>
    <t>HS2026080123</t>
  </si>
  <si>
    <t>HS2026080124</t>
  </si>
  <si>
    <t>HS2026080125</t>
  </si>
  <si>
    <t>HS2026080126</t>
  </si>
  <si>
    <t>HS2026080127</t>
  </si>
  <si>
    <t>HS2026080128</t>
  </si>
  <si>
    <t>HS2026080129</t>
  </si>
  <si>
    <t>HS2026080130</t>
  </si>
  <si>
    <t>HS2026080131</t>
  </si>
  <si>
    <t>HS2026080132</t>
  </si>
  <si>
    <t>HS2026080133</t>
  </si>
  <si>
    <t>HS2026080134</t>
  </si>
  <si>
    <t>HS2026080135</t>
  </si>
  <si>
    <t>HS2026080136</t>
  </si>
  <si>
    <t>HS2026080137</t>
  </si>
  <si>
    <t>HS2026080138</t>
  </si>
  <si>
    <t>HS2026080139</t>
  </si>
  <si>
    <t>HS2026080140</t>
  </si>
  <si>
    <t>HS2026080141</t>
  </si>
  <si>
    <t>HS2026080142</t>
  </si>
  <si>
    <t>HS2026080143</t>
  </si>
  <si>
    <t>HS2026080144</t>
  </si>
  <si>
    <t>HS2026080145</t>
  </si>
  <si>
    <t>HS2026080146</t>
  </si>
  <si>
    <t>HS2026080147</t>
  </si>
  <si>
    <t>HS2026080148</t>
  </si>
  <si>
    <t>HS2026080149</t>
  </si>
  <si>
    <t>HS2026080150</t>
  </si>
  <si>
    <t>HS2026080151</t>
  </si>
  <si>
    <t>HS2026080152</t>
  </si>
  <si>
    <t>HS2026080153</t>
  </si>
  <si>
    <t>HS2026080154</t>
  </si>
  <si>
    <t>HS2026080155</t>
  </si>
  <si>
    <t>HS2026080156</t>
  </si>
  <si>
    <t>HS2026080157</t>
  </si>
  <si>
    <t>HS2026080158</t>
  </si>
  <si>
    <t>HS2026080159</t>
  </si>
  <si>
    <t>HS2026080160</t>
  </si>
  <si>
    <t>HS2026080161</t>
  </si>
  <si>
    <t>HS2026080162</t>
  </si>
  <si>
    <t>HS2026080163</t>
  </si>
  <si>
    <t>HS2026080164</t>
  </si>
  <si>
    <t>HS2026080165</t>
  </si>
  <si>
    <t>HS2026080166</t>
  </si>
  <si>
    <t>HS2026080167</t>
  </si>
  <si>
    <t>HS2026080168</t>
  </si>
  <si>
    <t>HS2026080169</t>
  </si>
  <si>
    <t>HS2026080170</t>
  </si>
  <si>
    <t>HS2026080171</t>
  </si>
  <si>
    <t>HS2026080172</t>
  </si>
  <si>
    <t>HS2026080173</t>
  </si>
  <si>
    <t>HS2026080174</t>
  </si>
  <si>
    <t>HS2026080175</t>
  </si>
  <si>
    <t>HS2026080176</t>
  </si>
  <si>
    <t>HS2026080177</t>
  </si>
  <si>
    <t>HS2026080178</t>
  </si>
  <si>
    <t>HS2026080179</t>
  </si>
  <si>
    <t>HS2026080180</t>
  </si>
  <si>
    <t>HS2026080181</t>
  </si>
  <si>
    <t>HS2026080182</t>
  </si>
  <si>
    <t>HS2026080183</t>
  </si>
  <si>
    <t>HS2026080184</t>
  </si>
  <si>
    <t>HS2026080185</t>
  </si>
  <si>
    <t>HS2026080186</t>
  </si>
  <si>
    <t>HS2026080187</t>
  </si>
  <si>
    <t>HS2026080188</t>
  </si>
  <si>
    <t>HS2026080189</t>
  </si>
  <si>
    <t>HS2026080190</t>
  </si>
  <si>
    <t>HS2026080191</t>
  </si>
  <si>
    <t>HS2026080192</t>
  </si>
  <si>
    <t>HS2026080193</t>
  </si>
  <si>
    <t>HS2026080194</t>
  </si>
  <si>
    <t>HS2026080195</t>
  </si>
  <si>
    <t>HS2026080196</t>
  </si>
  <si>
    <t>HS2026080197</t>
  </si>
  <si>
    <t>HS2026080198</t>
  </si>
  <si>
    <t>HS2026080199</t>
  </si>
  <si>
    <t>HS2026080200</t>
  </si>
  <si>
    <t>HS2026080201</t>
  </si>
  <si>
    <t>HS2026080202</t>
  </si>
  <si>
    <t>HS2026080203</t>
  </si>
  <si>
    <t>HS2026080204</t>
  </si>
  <si>
    <t>HS2026080205</t>
  </si>
  <si>
    <t>HS2026080206</t>
  </si>
  <si>
    <t>HS2026080207</t>
  </si>
  <si>
    <t>HS2026080208</t>
  </si>
  <si>
    <t>HS2026080209</t>
  </si>
  <si>
    <t>HS2026080210</t>
  </si>
  <si>
    <t>HS2026080211</t>
  </si>
  <si>
    <t>HS2026080212</t>
  </si>
  <si>
    <t>HS2026080213</t>
  </si>
  <si>
    <t>HS2026080214</t>
  </si>
  <si>
    <t>HS2026080215</t>
  </si>
  <si>
    <t>HS2026080216</t>
  </si>
  <si>
    <t>HS2026080217</t>
  </si>
  <si>
    <t>HS2026080218</t>
  </si>
  <si>
    <t>HS2026080219</t>
  </si>
  <si>
    <t>HS2026080220</t>
  </si>
  <si>
    <t>HS2026080221</t>
  </si>
  <si>
    <t>HS2026080222</t>
  </si>
  <si>
    <t>HS2026080223</t>
  </si>
  <si>
    <t>HS2026080224</t>
  </si>
  <si>
    <t>HS2026080225</t>
  </si>
  <si>
    <t>HS2026080226</t>
  </si>
  <si>
    <t>HS2026080227</t>
  </si>
  <si>
    <t>HS2026080228</t>
  </si>
  <si>
    <t>HS2026080229</t>
  </si>
  <si>
    <t>HS2026080230</t>
  </si>
  <si>
    <t>HS2026080231</t>
  </si>
  <si>
    <t>HS2026080232</t>
  </si>
  <si>
    <t>HS2026080233</t>
  </si>
  <si>
    <t>HS2026080234</t>
  </si>
  <si>
    <t>HS2026080235</t>
  </si>
  <si>
    <t>HS2026080236</t>
  </si>
  <si>
    <t>HS2026080237</t>
  </si>
  <si>
    <t>HS2026080238</t>
  </si>
  <si>
    <t>HS2026080239</t>
  </si>
  <si>
    <t>HS2026080240</t>
  </si>
  <si>
    <t>HS2026080241</t>
  </si>
  <si>
    <t>HS2026080242</t>
  </si>
  <si>
    <t>HS2026080243</t>
  </si>
  <si>
    <t>HS2026080244</t>
  </si>
  <si>
    <t>HS2026080245</t>
  </si>
  <si>
    <t>HS2026080246</t>
  </si>
  <si>
    <t>HS2026080247</t>
  </si>
  <si>
    <t>HS2026080248</t>
  </si>
  <si>
    <t>HS2026080249</t>
  </si>
  <si>
    <t>HS2026080250</t>
  </si>
  <si>
    <t>HS2026080251</t>
  </si>
  <si>
    <t>HS2026080252</t>
  </si>
  <si>
    <t>HS2026080253</t>
  </si>
  <si>
    <t>HS2026080254</t>
  </si>
  <si>
    <t>HS2026080255</t>
  </si>
  <si>
    <t>HS2026080256</t>
  </si>
  <si>
    <t>HS2026080257</t>
  </si>
  <si>
    <t>HS2026080258</t>
  </si>
  <si>
    <t>HS2026080259</t>
  </si>
  <si>
    <t>HS2026080260</t>
  </si>
  <si>
    <t>HS2026080261</t>
  </si>
  <si>
    <t>HS2026080262</t>
  </si>
  <si>
    <t>HS2026080263</t>
  </si>
  <si>
    <t>HS2026080264</t>
  </si>
  <si>
    <t>HS2026080265</t>
  </si>
  <si>
    <t>HS2026080266</t>
  </si>
  <si>
    <t>HS2026080267</t>
  </si>
  <si>
    <t>HS2026080268</t>
  </si>
  <si>
    <t>HS2026080269</t>
  </si>
  <si>
    <t>HS2026080270</t>
  </si>
  <si>
    <t>HS2026080271</t>
  </si>
  <si>
    <t>HS2026080272</t>
  </si>
  <si>
    <t>HS2026080273</t>
  </si>
  <si>
    <t>HS2026080274</t>
  </si>
  <si>
    <t>HS2026080275</t>
  </si>
  <si>
    <t>HS2026080276</t>
  </si>
  <si>
    <t>HS2026080277</t>
  </si>
  <si>
    <t>HS2026080278</t>
  </si>
  <si>
    <t>HS2026080279</t>
  </si>
  <si>
    <t>HS2026080280</t>
  </si>
  <si>
    <t>HS2026080281</t>
  </si>
  <si>
    <t>HS2026080282</t>
  </si>
  <si>
    <t>HS2026080283</t>
  </si>
  <si>
    <t>HS2026080284</t>
  </si>
  <si>
    <t>HS2026080285</t>
  </si>
  <si>
    <t>HS2026080286</t>
  </si>
  <si>
    <t>HS2026080287</t>
  </si>
  <si>
    <t>HS2026080288</t>
  </si>
  <si>
    <t>HS2026080289</t>
  </si>
  <si>
    <t>HS2026080290</t>
  </si>
  <si>
    <t>HS2026080291</t>
  </si>
  <si>
    <t>HS2026080292</t>
  </si>
  <si>
    <t>HS2026080293</t>
  </si>
  <si>
    <t>HS2026080294</t>
  </si>
  <si>
    <t>HS2026080295</t>
  </si>
  <si>
    <t>HS2026080296</t>
  </si>
  <si>
    <t>HS2026080297</t>
  </si>
  <si>
    <t>HS2026080298</t>
  </si>
  <si>
    <t>HS2026080299</t>
  </si>
  <si>
    <t>HS2026080300</t>
  </si>
  <si>
    <t>HS2026080301</t>
  </si>
  <si>
    <t>HS2026080302</t>
  </si>
  <si>
    <t>HS2026080303</t>
  </si>
  <si>
    <t>HS2026080304</t>
  </si>
  <si>
    <t>HS2026080305</t>
  </si>
  <si>
    <t>HS2026080306</t>
  </si>
  <si>
    <t>HS2026080307</t>
  </si>
  <si>
    <t>HS2026080308</t>
  </si>
  <si>
    <t>HS2026080309</t>
  </si>
  <si>
    <t>HS2026080310</t>
  </si>
  <si>
    <t>HS2026080311</t>
  </si>
  <si>
    <t>HS2026080312</t>
  </si>
  <si>
    <t>HS2026080313</t>
  </si>
  <si>
    <t>HS2026080314</t>
  </si>
  <si>
    <t>HS2026080315</t>
  </si>
  <si>
    <t>HS2026080316</t>
  </si>
  <si>
    <t>HS2026080317</t>
  </si>
  <si>
    <t>HS2026080318</t>
  </si>
  <si>
    <t>HS2026080319</t>
  </si>
  <si>
    <t>HS2026080320</t>
  </si>
  <si>
    <t>HS2026080321</t>
  </si>
  <si>
    <t>HS2026080322</t>
  </si>
  <si>
    <t>HS2026080323</t>
  </si>
  <si>
    <t>HS2026080324</t>
  </si>
  <si>
    <t>HS2026080325</t>
  </si>
  <si>
    <t>HS2026080326</t>
  </si>
  <si>
    <t>HS2026080327</t>
  </si>
  <si>
    <t>HS2026080328</t>
  </si>
  <si>
    <t>HS2026080329</t>
  </si>
  <si>
    <t>HS2026080330</t>
  </si>
  <si>
    <t>HS2026080331</t>
  </si>
  <si>
    <t>HS2026080332</t>
  </si>
  <si>
    <t>HS2026080333</t>
  </si>
  <si>
    <t>HS2026080334</t>
  </si>
  <si>
    <t>HS2026080335</t>
  </si>
  <si>
    <t>HS2026080336</t>
  </si>
  <si>
    <t>HS2026080337</t>
  </si>
  <si>
    <t>HS2026080338</t>
  </si>
  <si>
    <t>HS2026080339</t>
  </si>
  <si>
    <t>HS2026080340</t>
  </si>
  <si>
    <t>HS2026080341</t>
  </si>
  <si>
    <t>HS2026080342</t>
  </si>
  <si>
    <t>HS2026080343</t>
  </si>
  <si>
    <t>HS2026080344</t>
  </si>
  <si>
    <t>HS2026080345</t>
  </si>
  <si>
    <t>HS2026080346</t>
  </si>
  <si>
    <t>HS2026080347</t>
  </si>
  <si>
    <t>HS2026080348</t>
  </si>
  <si>
    <t>HS2026080349</t>
  </si>
  <si>
    <t>HS2026080350</t>
  </si>
  <si>
    <t>HS2026080351</t>
  </si>
  <si>
    <t>HS2026080352</t>
  </si>
  <si>
    <t>HS2026080353</t>
  </si>
  <si>
    <t>HS2026080354</t>
  </si>
  <si>
    <t>HS2026080355</t>
  </si>
  <si>
    <t>HS2026080356</t>
  </si>
  <si>
    <t>HS2026080357</t>
  </si>
  <si>
    <t>HS2026080358</t>
  </si>
  <si>
    <t>HS2026080359</t>
  </si>
  <si>
    <t>HS2026080360</t>
  </si>
  <si>
    <t>HS2026080361</t>
  </si>
  <si>
    <t>HS2026080362</t>
  </si>
  <si>
    <t>HS2026080363</t>
  </si>
  <si>
    <t>HS2026080364</t>
  </si>
  <si>
    <t>HS2026080365</t>
  </si>
  <si>
    <t>HS2026080366</t>
  </si>
  <si>
    <t>HS2026080367</t>
  </si>
  <si>
    <t>HS2026080368</t>
  </si>
  <si>
    <t>HS2026080369</t>
  </si>
  <si>
    <t>HS2026080370</t>
  </si>
  <si>
    <t>HS2026080371</t>
  </si>
  <si>
    <t>HS2026080372</t>
  </si>
  <si>
    <t>HS2026080373</t>
  </si>
  <si>
    <t>HS2026080374</t>
  </si>
  <si>
    <t>HS2026080375</t>
  </si>
  <si>
    <t>HS2026080376</t>
  </si>
  <si>
    <t>HS2026080377</t>
  </si>
  <si>
    <t>HS2026080378</t>
  </si>
  <si>
    <t>HS2026080379</t>
  </si>
  <si>
    <t>HS2026080380</t>
  </si>
  <si>
    <t>HS2026080381</t>
  </si>
  <si>
    <t>HS2026080382</t>
  </si>
  <si>
    <t>HS2026080383</t>
  </si>
  <si>
    <t>HS2026080384</t>
  </si>
  <si>
    <t>HS2026080385</t>
  </si>
  <si>
    <t>HS2026080386</t>
  </si>
  <si>
    <t>HS2026080387</t>
  </si>
  <si>
    <t>HS2026080388</t>
  </si>
  <si>
    <t>HS2026080389</t>
  </si>
  <si>
    <t>HS2026080390</t>
  </si>
  <si>
    <t>HS2026080391</t>
  </si>
  <si>
    <t>HS2026080392</t>
  </si>
  <si>
    <t>HS2026080393</t>
  </si>
  <si>
    <t>HS2026080394</t>
  </si>
  <si>
    <t>HS2026080395</t>
  </si>
  <si>
    <t>HS2026080396</t>
  </si>
  <si>
    <t>HS2026080397</t>
  </si>
  <si>
    <t>HS2026080398</t>
  </si>
  <si>
    <t>HS2026080399</t>
  </si>
  <si>
    <t>HS2026080400</t>
  </si>
  <si>
    <t>HS2026080401</t>
  </si>
  <si>
    <t>HS2026080402</t>
  </si>
  <si>
    <t>HS2026080403</t>
  </si>
  <si>
    <t>HS2026080404</t>
  </si>
  <si>
    <t>HS2026080405</t>
  </si>
  <si>
    <t>HS2026080406</t>
  </si>
  <si>
    <t>HS2026080407</t>
  </si>
  <si>
    <t>HS2026080408</t>
  </si>
  <si>
    <t>HS2026080409</t>
  </si>
  <si>
    <t>HS2026080410</t>
  </si>
  <si>
    <t>HS2026080411</t>
  </si>
  <si>
    <t>HS2026080412</t>
  </si>
  <si>
    <t>HS2026080413</t>
  </si>
  <si>
    <t>HS2026080414</t>
  </si>
  <si>
    <t>HS2026080415</t>
  </si>
  <si>
    <t>HS2026080416</t>
  </si>
  <si>
    <t>HS2026080417</t>
  </si>
  <si>
    <t>HS2026080418</t>
  </si>
  <si>
    <t>HS2026080419</t>
  </si>
  <si>
    <t>HS2026080420</t>
  </si>
  <si>
    <t>HS2026080421</t>
  </si>
  <si>
    <t>HS2026080422</t>
  </si>
  <si>
    <t>HS2026080423</t>
  </si>
  <si>
    <t>HS2026080424</t>
  </si>
  <si>
    <t>HS2026080425</t>
  </si>
  <si>
    <t>HS2026080426</t>
  </si>
  <si>
    <t>HS2026080427</t>
  </si>
  <si>
    <t>HS2026080428</t>
  </si>
  <si>
    <t>HS2026080429</t>
  </si>
  <si>
    <t>HS2026080430</t>
  </si>
  <si>
    <t>HS2026080431</t>
  </si>
  <si>
    <t>HS2026080432</t>
  </si>
  <si>
    <t>HS2026080433</t>
  </si>
  <si>
    <t>HS2026080434</t>
  </si>
  <si>
    <t>HS2026080435</t>
  </si>
  <si>
    <t>HS2026080436</t>
  </si>
  <si>
    <t>HS2026080437</t>
  </si>
  <si>
    <t>HS2026080438</t>
  </si>
  <si>
    <t>HS2026080439</t>
  </si>
  <si>
    <t>HS2026080440</t>
  </si>
  <si>
    <t>HS2026080441</t>
  </si>
  <si>
    <t>HS2026080442</t>
  </si>
  <si>
    <t>HS2026080443</t>
  </si>
  <si>
    <t>HS2026080444</t>
  </si>
  <si>
    <t>HS2026080445</t>
  </si>
  <si>
    <t>HS2026080446</t>
  </si>
  <si>
    <t>HS2026080447</t>
  </si>
  <si>
    <t>HS2026080448</t>
  </si>
  <si>
    <t>HS2026080449</t>
  </si>
  <si>
    <t>HS2026080450</t>
  </si>
  <si>
    <t>HS2026080451</t>
  </si>
  <si>
    <t>HS2026080452</t>
  </si>
  <si>
    <t>HS2026080453</t>
  </si>
  <si>
    <t>HS2026080454</t>
  </si>
  <si>
    <t>HS2026080455</t>
  </si>
  <si>
    <t>HS2026080456</t>
  </si>
  <si>
    <t>HS2026080457</t>
  </si>
  <si>
    <t>HS2026080458</t>
  </si>
  <si>
    <t>HS2026080459</t>
  </si>
  <si>
    <t>HS2026080460</t>
  </si>
  <si>
    <t>HS2026080461</t>
  </si>
  <si>
    <t>HS2026080462</t>
  </si>
  <si>
    <t>HS2026080463</t>
  </si>
  <si>
    <t>HS2026080464</t>
  </si>
  <si>
    <t>HS2026080465</t>
  </si>
  <si>
    <t>HS2026080466</t>
  </si>
  <si>
    <t>HS2026080467</t>
  </si>
  <si>
    <t>HS2026080468</t>
  </si>
  <si>
    <t>HS2026080469</t>
  </si>
  <si>
    <t>HS2026080470</t>
  </si>
  <si>
    <t>HS2026080471</t>
  </si>
  <si>
    <t>HS2026080472</t>
  </si>
  <si>
    <t>HS2026080473</t>
  </si>
  <si>
    <t>HS2026080474</t>
  </si>
  <si>
    <t>HS2026080475</t>
  </si>
  <si>
    <t>HS2026080476</t>
  </si>
  <si>
    <t>HS2026080477</t>
  </si>
  <si>
    <t>HS2026080478</t>
  </si>
  <si>
    <t>HS2026080479</t>
  </si>
  <si>
    <t>HS2026080480</t>
  </si>
  <si>
    <t>HS2026080481</t>
  </si>
  <si>
    <t>HS2026080482</t>
  </si>
  <si>
    <t>HS2026080483</t>
  </si>
  <si>
    <t>HS2026080484</t>
  </si>
  <si>
    <t>HS2026080485</t>
  </si>
  <si>
    <t>HS2026080486</t>
  </si>
  <si>
    <t>HS2026080487</t>
  </si>
  <si>
    <t>HS2026080488</t>
  </si>
  <si>
    <t>HS2026080489</t>
  </si>
  <si>
    <t>HS2026080490</t>
  </si>
  <si>
    <t>HS2026080491</t>
  </si>
  <si>
    <t>HS2026080492</t>
  </si>
  <si>
    <t>HS2026080493</t>
  </si>
  <si>
    <t>HS2026080494</t>
  </si>
  <si>
    <t>HS2026080495</t>
  </si>
  <si>
    <t>HS2026080496</t>
  </si>
  <si>
    <t>HS2026080497</t>
  </si>
  <si>
    <t>HS2026080498</t>
  </si>
  <si>
    <t>HS2026080499</t>
  </si>
  <si>
    <t>HS2026080500</t>
  </si>
  <si>
    <t>HS2026080501</t>
  </si>
  <si>
    <t>HS2026080502</t>
  </si>
  <si>
    <t>HS2026080503</t>
  </si>
  <si>
    <t>HS2026080504</t>
  </si>
  <si>
    <t>HS2026080505</t>
  </si>
  <si>
    <t>HS2026080506</t>
  </si>
  <si>
    <t>HS2026080507</t>
  </si>
  <si>
    <t>HS2026080508</t>
  </si>
  <si>
    <t>HS2026080509</t>
  </si>
  <si>
    <t>HS2026080510</t>
  </si>
  <si>
    <t>HS2026080511</t>
  </si>
  <si>
    <t>HS2026080512</t>
  </si>
  <si>
    <t>HS2026080513</t>
  </si>
  <si>
    <t>HS2026080514</t>
  </si>
  <si>
    <t>HS2026080515</t>
  </si>
  <si>
    <t>HS2026080516</t>
  </si>
  <si>
    <t>HS2026080517</t>
  </si>
  <si>
    <t>HS2026080518</t>
  </si>
  <si>
    <t>HS2026080519</t>
  </si>
  <si>
    <t>HS2026080520</t>
  </si>
  <si>
    <t>HS2026080521</t>
  </si>
  <si>
    <t>HS2026080522</t>
  </si>
  <si>
    <t>HS2026080523</t>
  </si>
  <si>
    <t>HS2026080524</t>
  </si>
  <si>
    <t>HS2026080525</t>
  </si>
  <si>
    <t>HS2026080526</t>
  </si>
  <si>
    <t>HS2026080527</t>
  </si>
  <si>
    <t>HS2026080528</t>
  </si>
  <si>
    <t>HS2026080529</t>
  </si>
  <si>
    <t>HS2026080530</t>
  </si>
  <si>
    <t>HS2026080531</t>
  </si>
  <si>
    <t>HS2026080532</t>
  </si>
  <si>
    <t>HS2026080533</t>
  </si>
  <si>
    <t>HS2026080534</t>
  </si>
  <si>
    <t>HS2026080535</t>
  </si>
  <si>
    <t>HS2026080536</t>
  </si>
  <si>
    <t>HS2026080537</t>
  </si>
  <si>
    <t>HS2026080538</t>
  </si>
  <si>
    <t>HS2026080539</t>
  </si>
  <si>
    <t>HS2026080540</t>
  </si>
  <si>
    <t>HS2026080541</t>
  </si>
  <si>
    <t>HS2026080542</t>
  </si>
  <si>
    <t>HS2026080543</t>
  </si>
  <si>
    <t>HS2026080544</t>
  </si>
  <si>
    <t>HS2026080545</t>
  </si>
  <si>
    <t>HS2026080546</t>
  </si>
  <si>
    <t>HS2026080547</t>
  </si>
  <si>
    <t>HS2026080548</t>
  </si>
  <si>
    <t>HS2026080549</t>
  </si>
  <si>
    <t>HS2026080550</t>
  </si>
  <si>
    <t>HS2026080551</t>
  </si>
  <si>
    <t>HS2026080552</t>
  </si>
  <si>
    <t>HS2026080553</t>
  </si>
  <si>
    <t>HS2026080554</t>
  </si>
  <si>
    <t>HS2026080555</t>
  </si>
  <si>
    <t>HS2026080556</t>
  </si>
  <si>
    <t>HS2026080557</t>
  </si>
  <si>
    <t>HS2026080558</t>
  </si>
  <si>
    <t>HS2026080559</t>
  </si>
  <si>
    <t>HS2026080560</t>
  </si>
  <si>
    <t>HS2026080561</t>
  </si>
  <si>
    <t>HS2026080562</t>
  </si>
  <si>
    <t>HS2026080563</t>
  </si>
  <si>
    <t>HS2026080564</t>
  </si>
  <si>
    <t>HS2026080565</t>
  </si>
  <si>
    <t>HS2026080566</t>
  </si>
  <si>
    <t>HS2026080567</t>
  </si>
  <si>
    <t>HS2026080568</t>
  </si>
  <si>
    <t>HS2026080569</t>
  </si>
  <si>
    <t>HS2026080570</t>
  </si>
  <si>
    <t>HS2026080571</t>
  </si>
  <si>
    <t>HS2026080572</t>
  </si>
  <si>
    <t>HS2026080573</t>
  </si>
  <si>
    <t>HS2026080574</t>
  </si>
  <si>
    <t>HS2026080575</t>
  </si>
  <si>
    <t>HS2026080576</t>
  </si>
  <si>
    <t>HS2026080577</t>
  </si>
  <si>
    <t>HS2026080578</t>
  </si>
  <si>
    <t>HS2026080579</t>
  </si>
  <si>
    <t>HS2026080580</t>
  </si>
  <si>
    <t>HS2026080581</t>
  </si>
  <si>
    <t>HS2026080582</t>
  </si>
  <si>
    <t>HS2026080583</t>
  </si>
  <si>
    <t>HS2026080584</t>
  </si>
  <si>
    <t>HS2026080585</t>
  </si>
  <si>
    <t>HS2026080586</t>
  </si>
  <si>
    <t>HS2026080587</t>
  </si>
  <si>
    <t>HS2026080588</t>
  </si>
  <si>
    <t>HS2026080589</t>
  </si>
  <si>
    <t>HS2026080590</t>
  </si>
  <si>
    <t>HS2026080591</t>
  </si>
  <si>
    <t>HS2026080592</t>
  </si>
  <si>
    <t>HS2026080593</t>
  </si>
  <si>
    <t>HS2026080594</t>
  </si>
  <si>
    <t>HS2026080595</t>
  </si>
  <si>
    <t>HS2026080596</t>
  </si>
  <si>
    <t>HS2026080597</t>
  </si>
  <si>
    <t>HS2026080598</t>
  </si>
  <si>
    <t>HS2026080599</t>
  </si>
  <si>
    <t>HS2026080600</t>
  </si>
  <si>
    <t>行标签</t>
  </si>
  <si>
    <t>总计</t>
  </si>
  <si>
    <t>计数项:order_id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</si>
</sst>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"/>
    <numFmt numFmtId="177" formatCode="0.0%"/>
  </numFmts>
  <fonts count="11">
    <font>
      <sz val="11"/>
      <name val="Carlito"/>
    </font>
    <font>
      <sz val="10"/>
      <color rgb="FF1A2E3B"/>
      <name val="Arial"/>
    </font>
    <font>
      <b/>
      <sz val="10"/>
      <color rgb="FFFFFFFF"/>
      <name val="Arial"/>
    </font>
    <font>
      <sz val="10"/>
      <color rgb="FF647887"/>
      <name val="Arial"/>
    </font>
    <font>
      <b/>
      <sz val="10"/>
      <color rgb="FF1A2E3B"/>
      <name val="Arial"/>
    </font>
    <font>
      <b/>
      <sz val="15"/>
      <color rgb="FF183B56"/>
      <name val="Arial"/>
    </font>
    <font>
      <i/>
      <sz val="10"/>
      <color rgb="FF647887"/>
      <name val="Arial"/>
    </font>
    <font>
      <b/>
      <sz val="16"/>
      <color rgb="FF183B56"/>
      <name val="Arial"/>
    </font>
    <font>
      <b/>
      <sz val="10"/>
      <color rgb="FF087E8B"/>
      <name val="Arial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087E8B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87E8B"/>
      </bottom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0" fontId="1" fillId="0" borderId="0" xfId="1" applyFont="1"/>
    <xf numFmtId="0" fontId="2" fillId="2" borderId="0" xfId="1" applyFont="1" applyFill="1"/>
    <xf numFmtId="0" fontId="2" fillId="2" borderId="0" xfId="1" applyFont="1" applyFill="1" applyAlignment="1">
      <alignment wrapText="1"/>
    </xf>
    <xf numFmtId="0" fontId="2" fillId="3" borderId="0" xfId="1" applyFont="1" applyFill="1" applyAlignment="1">
      <alignment wrapText="1"/>
    </xf>
    <xf numFmtId="0" fontId="1" fillId="4" borderId="0" xfId="1" applyFont="1" applyFill="1"/>
    <xf numFmtId="176" fontId="1" fillId="0" borderId="0" xfId="1" applyNumberFormat="1" applyFont="1"/>
    <xf numFmtId="0" fontId="3" fillId="0" borderId="0" xfId="1" applyFont="1"/>
    <xf numFmtId="0" fontId="4" fillId="4" borderId="0" xfId="1" applyFont="1" applyFill="1"/>
    <xf numFmtId="0" fontId="5" fillId="0" borderId="0" xfId="1" applyFont="1"/>
    <xf numFmtId="0" fontId="6" fillId="0" borderId="0" xfId="1" applyFont="1"/>
    <xf numFmtId="177" fontId="1" fillId="0" borderId="0" xfId="1" applyNumberFormat="1" applyFont="1"/>
    <xf numFmtId="177" fontId="4" fillId="4" borderId="0" xfId="1" applyNumberFormat="1" applyFont="1" applyFill="1"/>
    <xf numFmtId="177" fontId="2" fillId="2" borderId="0" xfId="1" applyNumberFormat="1" applyFont="1" applyFill="1"/>
    <xf numFmtId="0" fontId="0" fillId="0" borderId="1" xfId="1" applyFont="1" applyBorder="1"/>
    <xf numFmtId="3" fontId="7" fillId="0" borderId="0" xfId="1" applyNumberFormat="1" applyFont="1"/>
    <xf numFmtId="177" fontId="7" fillId="0" borderId="0" xfId="1" applyNumberFormat="1" applyFont="1"/>
    <xf numFmtId="0" fontId="8" fillId="0" borderId="0" xfId="1" applyFont="1"/>
    <xf numFmtId="0" fontId="1" fillId="0" borderId="0" xfId="1" applyFont="1"/>
    <xf numFmtId="0" fontId="3" fillId="0" borderId="0" xfId="1" applyFont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>
                <a:latin typeface="Arial"/>
                <a:ea typeface="Arial"/>
                <a:cs typeface="Arial"/>
              </a:rPr>
              <a:t>城市工单量（单）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工单量</c:v>
          </c:tx>
          <c:spPr>
            <a:solidFill>
              <a:srgbClr val="087E8B"/>
            </a:solidFill>
          </c:spPr>
          <c:invertIfNegative val="0"/>
          <c:cat>
            <c:strRef>
              <c:f>看板!$A$11:$A$13</c:f>
              <c:strCache>
                <c:ptCount val="3"/>
                <c:pt idx="0">
                  <c:v>北京</c:v>
                </c:pt>
                <c:pt idx="1">
                  <c:v>武汉</c:v>
                </c:pt>
                <c:pt idx="2">
                  <c:v>重庆</c:v>
                </c:pt>
              </c:strCache>
            </c:strRef>
          </c:cat>
          <c:val>
            <c:numRef>
              <c:f>看板!$D$11:$D$13</c:f>
              <c:numCache>
                <c:formatCode>General</c:formatCode>
                <c:ptCount val="3"/>
                <c:pt idx="0">
                  <c:v>252</c:v>
                </c:pt>
                <c:pt idx="1">
                  <c:v>193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5-4288-8C2E-BCBAD309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>
                <a:latin typeface="Arial"/>
                <a:ea typeface="Arial"/>
                <a:cs typeface="Arial"/>
              </a:rPr>
              <a:t>站点异常单数（单）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异常单数</c:v>
          </c:tx>
          <c:spPr>
            <a:solidFill>
              <a:srgbClr val="087E8B"/>
            </a:solidFill>
          </c:spPr>
          <c:invertIfNegative val="0"/>
          <c:cat>
            <c:strRef>
              <c:f>看板!$A$19:$A$24</c:f>
              <c:strCache>
                <c:ptCount val="6"/>
                <c:pt idx="0">
                  <c:v>BJ01</c:v>
                </c:pt>
                <c:pt idx="1">
                  <c:v>BJ02</c:v>
                </c:pt>
                <c:pt idx="2">
                  <c:v>WH01</c:v>
                </c:pt>
                <c:pt idx="3">
                  <c:v>WH02</c:v>
                </c:pt>
                <c:pt idx="4">
                  <c:v>CQ01</c:v>
                </c:pt>
                <c:pt idx="5">
                  <c:v>CQ02</c:v>
                </c:pt>
              </c:strCache>
            </c:strRef>
          </c:cat>
          <c:val>
            <c:numRef>
              <c:f>看板!$C$19:$C$24</c:f>
              <c:numCache>
                <c:formatCode>General</c:formatCode>
                <c:ptCount val="6"/>
                <c:pt idx="0">
                  <c:v>23</c:v>
                </c:pt>
                <c:pt idx="1">
                  <c:v>38</c:v>
                </c:pt>
                <c:pt idx="2">
                  <c:v>20</c:v>
                </c:pt>
                <c:pt idx="3">
                  <c:v>39</c:v>
                </c:pt>
                <c:pt idx="4">
                  <c:v>32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4-4CB0-83B9-33643D80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8.905441087962" createdVersion="8" refreshedVersion="8" minRefreshableVersion="3" recordCount="600" xr:uid="{B9828079-684A-46E6-A696-F57E25506205}">
  <cacheSource type="worksheet">
    <worksheetSource name="ServiceOrderAnalysis"/>
  </cacheSource>
  <cacheFields count="23">
    <cacheField name="order_id" numFmtId="0">
      <sharedItems count="600">
        <s v="HS2026080001"/>
        <s v="HS2026080002"/>
        <s v="HS2026080003"/>
        <s v="HS2026080004"/>
        <s v="HS2026080005"/>
        <s v="HS2026080006"/>
        <s v="HS2026080007"/>
        <s v="HS2026080008"/>
        <s v="HS2026080009"/>
        <s v="HS2026080010"/>
        <s v="HS2026080011"/>
        <s v="HS2026080012"/>
        <s v="HS2026080013"/>
        <s v="HS2026080014"/>
        <s v="HS2026080015"/>
        <s v="HS2026080016"/>
        <s v="HS2026080017"/>
        <s v="HS2026080018"/>
        <s v="HS2026080019"/>
        <s v="HS2026080020"/>
        <s v="HS2026080021"/>
        <s v="HS2026080022"/>
        <s v="HS2026080023"/>
        <s v="HS2026080024"/>
        <s v="HS2026080025"/>
        <s v="HS2026080026"/>
        <s v="HS2026080027"/>
        <s v="HS2026080028"/>
        <s v="HS2026080029"/>
        <s v="HS2026080030"/>
        <s v="HS2026080031"/>
        <s v="HS2026080032"/>
        <s v="HS2026080033"/>
        <s v="HS2026080034"/>
        <s v="HS2026080035"/>
        <s v="HS2026080036"/>
        <s v="HS2026080037"/>
        <s v="HS2026080038"/>
        <s v="HS2026080039"/>
        <s v="HS2026080040"/>
        <s v="HS2026080041"/>
        <s v="HS2026080042"/>
        <s v="HS2026080043"/>
        <s v="HS2026080044"/>
        <s v="HS2026080045"/>
        <s v="HS2026080046"/>
        <s v="HS2026080047"/>
        <s v="HS2026080048"/>
        <s v="HS2026080049"/>
        <s v="HS2026080050"/>
        <s v="HS2026080051"/>
        <s v="HS2026080052"/>
        <s v="HS2026080053"/>
        <s v="HS2026080054"/>
        <s v="HS2026080055"/>
        <s v="HS2026080056"/>
        <s v="HS2026080057"/>
        <s v="HS2026080058"/>
        <s v="HS2026080059"/>
        <s v="HS2026080060"/>
        <s v="HS2026080061"/>
        <s v="HS2026080062"/>
        <s v="HS2026080063"/>
        <s v="HS2026080064"/>
        <s v="HS2026080065"/>
        <s v="HS2026080066"/>
        <s v="HS2026080067"/>
        <s v="HS2026080068"/>
        <s v="HS2026080069"/>
        <s v="HS2026080070"/>
        <s v="HS2026080071"/>
        <s v="HS2026080072"/>
        <s v="HS2026080073"/>
        <s v="HS2026080074"/>
        <s v="HS2026080075"/>
        <s v="HS2026080076"/>
        <s v="HS2026080077"/>
        <s v="HS2026080078"/>
        <s v="HS2026080079"/>
        <s v="HS2026080080"/>
        <s v="HS2026080081"/>
        <s v="HS2026080082"/>
        <s v="HS2026080083"/>
        <s v="HS2026080084"/>
        <s v="HS2026080085"/>
        <s v="HS2026080086"/>
        <s v="HS2026080087"/>
        <s v="HS2026080088"/>
        <s v="HS2026080089"/>
        <s v="HS2026080090"/>
        <s v="HS2026080091"/>
        <s v="HS2026080092"/>
        <s v="HS2026080093"/>
        <s v="HS2026080094"/>
        <s v="HS2026080095"/>
        <s v="HS2026080096"/>
        <s v="HS2026080097"/>
        <s v="HS2026080098"/>
        <s v="HS2026080099"/>
        <s v="HS2026080100"/>
        <s v="HS2026080101"/>
        <s v="HS2026080102"/>
        <s v="HS2026080103"/>
        <s v="HS2026080104"/>
        <s v="HS2026080105"/>
        <s v="HS2026080106"/>
        <s v="HS2026080107"/>
        <s v="HS2026080108"/>
        <s v="HS2026080109"/>
        <s v="HS2026080110"/>
        <s v="HS2026080111"/>
        <s v="HS2026080112"/>
        <s v="HS2026080113"/>
        <s v="HS2026080114"/>
        <s v="HS2026080115"/>
        <s v="HS2026080116"/>
        <s v="HS2026080117"/>
        <s v="HS2026080118"/>
        <s v="HS2026080119"/>
        <s v="HS2026080120"/>
        <s v="HS2026080121"/>
        <s v="HS2026080122"/>
        <s v="HS2026080123"/>
        <s v="HS2026080124"/>
        <s v="HS2026080125"/>
        <s v="HS2026080126"/>
        <s v="HS2026080127"/>
        <s v="HS2026080128"/>
        <s v="HS2026080129"/>
        <s v="HS2026080130"/>
        <s v="HS2026080131"/>
        <s v="HS2026080132"/>
        <s v="HS2026080133"/>
        <s v="HS2026080134"/>
        <s v="HS2026080135"/>
        <s v="HS2026080136"/>
        <s v="HS2026080137"/>
        <s v="HS2026080138"/>
        <s v="HS2026080139"/>
        <s v="HS2026080140"/>
        <s v="HS2026080141"/>
        <s v="HS2026080142"/>
        <s v="HS2026080143"/>
        <s v="HS2026080144"/>
        <s v="HS2026080145"/>
        <s v="HS2026080146"/>
        <s v="HS2026080147"/>
        <s v="HS2026080148"/>
        <s v="HS2026080149"/>
        <s v="HS2026080150"/>
        <s v="HS2026080151"/>
        <s v="HS2026080152"/>
        <s v="HS2026080153"/>
        <s v="HS2026080154"/>
        <s v="HS2026080155"/>
        <s v="HS2026080156"/>
        <s v="HS2026080157"/>
        <s v="HS2026080158"/>
        <s v="HS2026080159"/>
        <s v="HS2026080160"/>
        <s v="HS2026080161"/>
        <s v="HS2026080162"/>
        <s v="HS2026080163"/>
        <s v="HS2026080164"/>
        <s v="HS2026080165"/>
        <s v="HS2026080166"/>
        <s v="HS2026080167"/>
        <s v="HS2026080168"/>
        <s v="HS2026080169"/>
        <s v="HS2026080170"/>
        <s v="HS2026080171"/>
        <s v="HS2026080172"/>
        <s v="HS2026080173"/>
        <s v="HS2026080174"/>
        <s v="HS2026080175"/>
        <s v="HS2026080176"/>
        <s v="HS2026080177"/>
        <s v="HS2026080178"/>
        <s v="HS2026080179"/>
        <s v="HS2026080180"/>
        <s v="HS2026080181"/>
        <s v="HS2026080182"/>
        <s v="HS2026080183"/>
        <s v="HS2026080184"/>
        <s v="HS2026080185"/>
        <s v="HS2026080186"/>
        <s v="HS2026080187"/>
        <s v="HS2026080188"/>
        <s v="HS2026080189"/>
        <s v="HS2026080190"/>
        <s v="HS2026080191"/>
        <s v="HS2026080192"/>
        <s v="HS2026080193"/>
        <s v="HS2026080194"/>
        <s v="HS2026080195"/>
        <s v="HS2026080196"/>
        <s v="HS2026080197"/>
        <s v="HS2026080198"/>
        <s v="HS2026080199"/>
        <s v="HS2026080200"/>
        <s v="HS2026080201"/>
        <s v="HS2026080202"/>
        <s v="HS2026080203"/>
        <s v="HS2026080204"/>
        <s v="HS2026080205"/>
        <s v="HS2026080206"/>
        <s v="HS2026080207"/>
        <s v="HS2026080208"/>
        <s v="HS2026080209"/>
        <s v="HS2026080210"/>
        <s v="HS2026080211"/>
        <s v="HS2026080212"/>
        <s v="HS2026080213"/>
        <s v="HS2026080214"/>
        <s v="HS2026080215"/>
        <s v="HS2026080216"/>
        <s v="HS2026080217"/>
        <s v="HS2026080218"/>
        <s v="HS2026080219"/>
        <s v="HS2026080220"/>
        <s v="HS2026080221"/>
        <s v="HS2026080222"/>
        <s v="HS2026080223"/>
        <s v="HS2026080224"/>
        <s v="HS2026080225"/>
        <s v="HS2026080226"/>
        <s v="HS2026080227"/>
        <s v="HS2026080228"/>
        <s v="HS2026080229"/>
        <s v="HS2026080230"/>
        <s v="HS2026080231"/>
        <s v="HS2026080232"/>
        <s v="HS2026080233"/>
        <s v="HS2026080234"/>
        <s v="HS2026080235"/>
        <s v="HS2026080236"/>
        <s v="HS2026080237"/>
        <s v="HS2026080238"/>
        <s v="HS2026080239"/>
        <s v="HS2026080240"/>
        <s v="HS2026080241"/>
        <s v="HS2026080242"/>
        <s v="HS2026080243"/>
        <s v="HS2026080244"/>
        <s v="HS2026080245"/>
        <s v="HS2026080246"/>
        <s v="HS2026080247"/>
        <s v="HS2026080248"/>
        <s v="HS2026080249"/>
        <s v="HS2026080250"/>
        <s v="HS2026080251"/>
        <s v="HS2026080252"/>
        <s v="HS2026080253"/>
        <s v="HS2026080254"/>
        <s v="HS2026080255"/>
        <s v="HS2026080256"/>
        <s v="HS2026080257"/>
        <s v="HS2026080258"/>
        <s v="HS2026080259"/>
        <s v="HS2026080260"/>
        <s v="HS2026080261"/>
        <s v="HS2026080262"/>
        <s v="HS2026080263"/>
        <s v="HS2026080264"/>
        <s v="HS2026080265"/>
        <s v="HS2026080266"/>
        <s v="HS2026080267"/>
        <s v="HS2026080268"/>
        <s v="HS2026080269"/>
        <s v="HS2026080270"/>
        <s v="HS2026080271"/>
        <s v="HS2026080272"/>
        <s v="HS2026080273"/>
        <s v="HS2026080274"/>
        <s v="HS2026080275"/>
        <s v="HS2026080276"/>
        <s v="HS2026080277"/>
        <s v="HS2026080278"/>
        <s v="HS2026080279"/>
        <s v="HS2026080280"/>
        <s v="HS2026080281"/>
        <s v="HS2026080282"/>
        <s v="HS2026080283"/>
        <s v="HS2026080284"/>
        <s v="HS2026080285"/>
        <s v="HS2026080286"/>
        <s v="HS2026080287"/>
        <s v="HS2026080288"/>
        <s v="HS2026080289"/>
        <s v="HS2026080290"/>
        <s v="HS2026080291"/>
        <s v="HS2026080292"/>
        <s v="HS2026080293"/>
        <s v="HS2026080294"/>
        <s v="HS2026080295"/>
        <s v="HS2026080296"/>
        <s v="HS2026080297"/>
        <s v="HS2026080298"/>
        <s v="HS2026080299"/>
        <s v="HS2026080300"/>
        <s v="HS2026080301"/>
        <s v="HS2026080302"/>
        <s v="HS2026080303"/>
        <s v="HS2026080304"/>
        <s v="HS2026080305"/>
        <s v="HS2026080306"/>
        <s v="HS2026080307"/>
        <s v="HS2026080308"/>
        <s v="HS2026080309"/>
        <s v="HS2026080310"/>
        <s v="HS2026080311"/>
        <s v="HS2026080312"/>
        <s v="HS2026080313"/>
        <s v="HS2026080314"/>
        <s v="HS2026080315"/>
        <s v="HS2026080316"/>
        <s v="HS2026080317"/>
        <s v="HS2026080318"/>
        <s v="HS2026080319"/>
        <s v="HS2026080320"/>
        <s v="HS2026080321"/>
        <s v="HS2026080322"/>
        <s v="HS2026080323"/>
        <s v="HS2026080324"/>
        <s v="HS2026080325"/>
        <s v="HS2026080326"/>
        <s v="HS2026080327"/>
        <s v="HS2026080328"/>
        <s v="HS2026080329"/>
        <s v="HS2026080330"/>
        <s v="HS2026080331"/>
        <s v="HS2026080332"/>
        <s v="HS2026080333"/>
        <s v="HS2026080334"/>
        <s v="HS2026080335"/>
        <s v="HS2026080336"/>
        <s v="HS2026080337"/>
        <s v="HS2026080338"/>
        <s v="HS2026080339"/>
        <s v="HS2026080340"/>
        <s v="HS2026080341"/>
        <s v="HS2026080342"/>
        <s v="HS2026080343"/>
        <s v="HS2026080344"/>
        <s v="HS2026080345"/>
        <s v="HS2026080346"/>
        <s v="HS2026080347"/>
        <s v="HS2026080348"/>
        <s v="HS2026080349"/>
        <s v="HS2026080350"/>
        <s v="HS2026080351"/>
        <s v="HS2026080352"/>
        <s v="HS2026080353"/>
        <s v="HS2026080354"/>
        <s v="HS2026080355"/>
        <s v="HS2026080356"/>
        <s v="HS2026080357"/>
        <s v="HS2026080358"/>
        <s v="HS2026080359"/>
        <s v="HS2026080360"/>
        <s v="HS2026080361"/>
        <s v="HS2026080362"/>
        <s v="HS2026080363"/>
        <s v="HS2026080364"/>
        <s v="HS2026080365"/>
        <s v="HS2026080366"/>
        <s v="HS2026080367"/>
        <s v="HS2026080368"/>
        <s v="HS2026080369"/>
        <s v="HS2026080370"/>
        <s v="HS2026080371"/>
        <s v="HS2026080372"/>
        <s v="HS2026080373"/>
        <s v="HS2026080374"/>
        <s v="HS2026080375"/>
        <s v="HS2026080376"/>
        <s v="HS2026080377"/>
        <s v="HS2026080378"/>
        <s v="HS2026080379"/>
        <s v="HS2026080380"/>
        <s v="HS2026080381"/>
        <s v="HS2026080382"/>
        <s v="HS2026080383"/>
        <s v="HS2026080384"/>
        <s v="HS2026080385"/>
        <s v="HS2026080386"/>
        <s v="HS2026080387"/>
        <s v="HS2026080388"/>
        <s v="HS2026080389"/>
        <s v="HS2026080390"/>
        <s v="HS2026080391"/>
        <s v="HS2026080392"/>
        <s v="HS2026080393"/>
        <s v="HS2026080394"/>
        <s v="HS2026080395"/>
        <s v="HS2026080396"/>
        <s v="HS2026080397"/>
        <s v="HS2026080398"/>
        <s v="HS2026080399"/>
        <s v="HS2026080400"/>
        <s v="HS2026080401"/>
        <s v="HS2026080402"/>
        <s v="HS2026080403"/>
        <s v="HS2026080404"/>
        <s v="HS2026080405"/>
        <s v="HS2026080406"/>
        <s v="HS2026080407"/>
        <s v="HS2026080408"/>
        <s v="HS2026080409"/>
        <s v="HS2026080410"/>
        <s v="HS2026080411"/>
        <s v="HS2026080412"/>
        <s v="HS2026080413"/>
        <s v="HS2026080414"/>
        <s v="HS2026080415"/>
        <s v="HS2026080416"/>
        <s v="HS2026080417"/>
        <s v="HS2026080418"/>
        <s v="HS2026080419"/>
        <s v="HS2026080420"/>
        <s v="HS2026080421"/>
        <s v="HS2026080422"/>
        <s v="HS2026080423"/>
        <s v="HS2026080424"/>
        <s v="HS2026080425"/>
        <s v="HS2026080426"/>
        <s v="HS2026080427"/>
        <s v="HS2026080428"/>
        <s v="HS2026080429"/>
        <s v="HS2026080430"/>
        <s v="HS2026080431"/>
        <s v="HS2026080432"/>
        <s v="HS2026080433"/>
        <s v="HS2026080434"/>
        <s v="HS2026080435"/>
        <s v="HS2026080436"/>
        <s v="HS2026080437"/>
        <s v="HS2026080438"/>
        <s v="HS2026080439"/>
        <s v="HS2026080440"/>
        <s v="HS2026080441"/>
        <s v="HS2026080442"/>
        <s v="HS2026080443"/>
        <s v="HS2026080444"/>
        <s v="HS2026080445"/>
        <s v="HS2026080446"/>
        <s v="HS2026080447"/>
        <s v="HS2026080448"/>
        <s v="HS2026080449"/>
        <s v="HS2026080450"/>
        <s v="HS2026080451"/>
        <s v="HS2026080452"/>
        <s v="HS2026080453"/>
        <s v="HS2026080454"/>
        <s v="HS2026080455"/>
        <s v="HS2026080456"/>
        <s v="HS2026080457"/>
        <s v="HS2026080458"/>
        <s v="HS2026080459"/>
        <s v="HS2026080460"/>
        <s v="HS2026080461"/>
        <s v="HS2026080462"/>
        <s v="HS2026080463"/>
        <s v="HS2026080464"/>
        <s v="HS2026080465"/>
        <s v="HS2026080466"/>
        <s v="HS2026080467"/>
        <s v="HS2026080468"/>
        <s v="HS2026080469"/>
        <s v="HS2026080470"/>
        <s v="HS2026080471"/>
        <s v="HS2026080472"/>
        <s v="HS2026080473"/>
        <s v="HS2026080474"/>
        <s v="HS2026080475"/>
        <s v="HS2026080476"/>
        <s v="HS2026080477"/>
        <s v="HS2026080478"/>
        <s v="HS2026080479"/>
        <s v="HS2026080480"/>
        <s v="HS2026080481"/>
        <s v="HS2026080482"/>
        <s v="HS2026080483"/>
        <s v="HS2026080484"/>
        <s v="HS2026080485"/>
        <s v="HS2026080486"/>
        <s v="HS2026080487"/>
        <s v="HS2026080488"/>
        <s v="HS2026080489"/>
        <s v="HS2026080490"/>
        <s v="HS2026080491"/>
        <s v="HS2026080492"/>
        <s v="HS2026080493"/>
        <s v="HS2026080494"/>
        <s v="HS2026080495"/>
        <s v="HS2026080496"/>
        <s v="HS2026080497"/>
        <s v="HS2026080498"/>
        <s v="HS2026080499"/>
        <s v="HS2026080500"/>
        <s v="HS2026080501"/>
        <s v="HS2026080502"/>
        <s v="HS2026080503"/>
        <s v="HS2026080504"/>
        <s v="HS2026080505"/>
        <s v="HS2026080506"/>
        <s v="HS2026080507"/>
        <s v="HS2026080508"/>
        <s v="HS2026080509"/>
        <s v="HS2026080510"/>
        <s v="HS2026080511"/>
        <s v="HS2026080512"/>
        <s v="HS2026080513"/>
        <s v="HS2026080514"/>
        <s v="HS2026080515"/>
        <s v="HS2026080516"/>
        <s v="HS2026080517"/>
        <s v="HS2026080518"/>
        <s v="HS2026080519"/>
        <s v="HS2026080520"/>
        <s v="HS2026080521"/>
        <s v="HS2026080522"/>
        <s v="HS2026080523"/>
        <s v="HS2026080524"/>
        <s v="HS2026080525"/>
        <s v="HS2026080526"/>
        <s v="HS2026080527"/>
        <s v="HS2026080528"/>
        <s v="HS2026080529"/>
        <s v="HS2026080530"/>
        <s v="HS2026080531"/>
        <s v="HS2026080532"/>
        <s v="HS2026080533"/>
        <s v="HS2026080534"/>
        <s v="HS2026080535"/>
        <s v="HS2026080536"/>
        <s v="HS2026080537"/>
        <s v="HS2026080538"/>
        <s v="HS2026080539"/>
        <s v="HS2026080540"/>
        <s v="HS2026080541"/>
        <s v="HS2026080542"/>
        <s v="HS2026080543"/>
        <s v="HS2026080544"/>
        <s v="HS2026080545"/>
        <s v="HS2026080546"/>
        <s v="HS2026080547"/>
        <s v="HS2026080548"/>
        <s v="HS2026080549"/>
        <s v="HS2026080550"/>
        <s v="HS2026080551"/>
        <s v="HS2026080552"/>
        <s v="HS2026080553"/>
        <s v="HS2026080554"/>
        <s v="HS2026080555"/>
        <s v="HS2026080556"/>
        <s v="HS2026080557"/>
        <s v="HS2026080558"/>
        <s v="HS2026080559"/>
        <s v="HS2026080560"/>
        <s v="HS2026080561"/>
        <s v="HS2026080562"/>
        <s v="HS2026080563"/>
        <s v="HS2026080564"/>
        <s v="HS2026080565"/>
        <s v="HS2026080566"/>
        <s v="HS2026080567"/>
        <s v="HS2026080568"/>
        <s v="HS2026080569"/>
        <s v="HS2026080570"/>
        <s v="HS2026080571"/>
        <s v="HS2026080572"/>
        <s v="HS2026080573"/>
        <s v="HS2026080574"/>
        <s v="HS2026080575"/>
        <s v="HS2026080576"/>
        <s v="HS2026080577"/>
        <s v="HS2026080578"/>
        <s v="HS2026080579"/>
        <s v="HS2026080580"/>
        <s v="HS2026080581"/>
        <s v="HS2026080582"/>
        <s v="HS2026080583"/>
        <s v="HS2026080584"/>
        <s v="HS2026080585"/>
        <s v="HS2026080586"/>
        <s v="HS2026080587"/>
        <s v="HS2026080588"/>
        <s v="HS2026080589"/>
        <s v="HS2026080590"/>
        <s v="HS2026080591"/>
        <s v="HS2026080592"/>
        <s v="HS2026080593"/>
        <s v="HS2026080594"/>
        <s v="HS2026080595"/>
        <s v="HS2026080596"/>
        <s v="HS2026080597"/>
        <s v="HS2026080598"/>
        <s v="HS2026080599"/>
        <s v="HS2026080600"/>
      </sharedItems>
    </cacheField>
    <cacheField name="city" numFmtId="0">
      <sharedItems count="3">
        <s v="北京"/>
        <s v="武汉"/>
        <s v="重庆"/>
      </sharedItems>
    </cacheField>
    <cacheField name="service_type" numFmtId="0">
      <sharedItems count="3">
        <s v="维修"/>
        <s v="安装"/>
        <s v="拆旧"/>
      </sharedItems>
    </cacheField>
    <cacheField name="site_id" numFmtId="0">
      <sharedItems/>
    </cacheField>
    <cacheField name="created_at" numFmtId="176">
      <sharedItems containsSemiMixedTypes="0" containsNonDate="0" containsDate="1" containsString="0" minDate="2026-08-01T08:00:00" maxDate="2026-08-28T18:25:00"/>
    </cacheField>
    <cacheField name="dispatched_at" numFmtId="176">
      <sharedItems containsNonDate="0" containsDate="1" containsString="0" containsBlank="1" minDate="2026-08-01T09:07:00" maxDate="2026-08-30T10:34:00"/>
    </cacheField>
    <cacheField name="appointment_deadline" numFmtId="176">
      <sharedItems containsSemiMixedTypes="0" containsNonDate="0" containsDate="1" containsString="0" minDate="2026-08-02T10:00:00" maxDate="2026-08-31T10:00:00"/>
    </cacheField>
    <cacheField name="arrived_at" numFmtId="176">
      <sharedItems containsNonDate="0" containsDate="1" containsString="0" containsBlank="1" minDate="2026-08-02T09:23:00" maxDate="2026-08-31T09:46:00"/>
    </cacheField>
    <cacheField name="completion_deadline" numFmtId="176">
      <sharedItems containsSemiMixedTypes="0" containsNonDate="0" containsDate="1" containsString="0" minDate="2026-08-02T14:00:00" maxDate="2026-08-31T14:00:00"/>
    </cacheField>
    <cacheField name="completed_at" numFmtId="176">
      <sharedItems containsNonDate="0" containsDate="1" containsString="0" containsBlank="1" minDate="2026-08-02T10:16:00" maxDate="2026-08-31T10:46:00"/>
    </cacheField>
    <cacheField name="order_status" numFmtId="0">
      <sharedItems/>
    </cacheField>
    <cacheField name="primary_exception" numFmtId="0">
      <sharedItems/>
    </cacheField>
    <cacheField name="exception_detected_at" numFmtId="176">
      <sharedItems containsNonDate="0" containsDate="1" containsString="0" containsBlank="1" minDate="2026-08-02T10:00:00" maxDate="2026-08-30T17:00:00"/>
    </cacheField>
    <cacheField name="exception_closed_at" numFmtId="176">
      <sharedItems containsNonDate="0" containsDate="1" containsString="0" containsBlank="1" minDate="2026-08-02T14:17:00" maxDate="2026-08-29T21:39:00"/>
    </cacheField>
    <cacheField name="complaint_flag" numFmtId="0">
      <sharedItems containsSemiMixedTypes="0" containsString="0" containsNumber="1" containsInteger="1" minValue="0" maxValue="1"/>
    </cacheField>
    <cacheField name="rating" numFmtId="0">
      <sharedItems containsString="0" containsBlank="1" containsNumber="1" containsInteger="1" minValue="1" maxValue="5"/>
    </cacheField>
    <cacheField name="准时上门标记" numFmtId="0">
      <sharedItems containsSemiMixedTypes="0" containsString="0" containsNumber="1" containsInteger="1" minValue="0" maxValue="1"/>
    </cacheField>
    <cacheField name="按期完工标记" numFmtId="0">
      <sharedItems containsSemiMixedTypes="0" containsString="0" containsNumber="1" containsInteger="1" minValue="0" maxValue="1"/>
    </cacheField>
    <cacheField name="异常标记" numFmtId="0">
      <sharedItems containsSemiMixedTypes="0" containsString="0" containsNumber="1" containsInteger="1" minValue="0" maxValue="1"/>
    </cacheField>
    <cacheField name="已闭环标记" numFmtId="0">
      <sharedItems containsSemiMixedTypes="0" containsString="0" containsNumber="1" containsInteger="1" minValue="0" maxValue="1"/>
    </cacheField>
    <cacheField name="待闭环标记" numFmtId="0">
      <sharedItems containsSemiMixedTypes="0" containsString="0" containsNumber="1" containsInteger="1" minValue="0" maxValue="1"/>
    </cacheField>
    <cacheField name="计算异常类型" numFmtId="0">
      <sharedItems/>
    </cacheField>
    <cacheField name="源标签一致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s v="BJ02"/>
    <d v="2026-08-01T08:00:00"/>
    <d v="2026-08-01T09:07:00"/>
    <d v="2026-08-04T15:00:00"/>
    <d v="2026-08-04T15:22:00"/>
    <d v="2026-08-04T20:00:00"/>
    <d v="2026-08-04T16:37:00"/>
    <s v="已完工"/>
    <s v="上门超时"/>
    <d v="2026-08-04T15:00:00"/>
    <d v="2026-08-04T22:25:00"/>
    <n v="0"/>
    <n v="2"/>
    <n v="0"/>
    <n v="1"/>
    <n v="1"/>
    <n v="1"/>
    <n v="0"/>
    <s v="上门超时"/>
    <n v="1"/>
  </r>
  <r>
    <x v="1"/>
    <x v="0"/>
    <x v="0"/>
    <s v="BJ02"/>
    <d v="2026-08-01T08:35:00"/>
    <d v="2026-08-01T11:08:00"/>
    <d v="2026-08-03T17:00:00"/>
    <d v="2026-08-03T16:25:00"/>
    <d v="2026-08-03T22:00:00"/>
    <d v="2026-08-03T17:33:00"/>
    <s v="已完工"/>
    <s v="无"/>
    <m/>
    <m/>
    <n v="0"/>
    <n v="5"/>
    <n v="1"/>
    <n v="1"/>
    <n v="0"/>
    <n v="0"/>
    <n v="0"/>
    <s v="无"/>
    <n v="1"/>
  </r>
  <r>
    <x v="2"/>
    <x v="0"/>
    <x v="1"/>
    <s v="BJ02"/>
    <d v="2026-08-01T08:50:00"/>
    <d v="2026-08-01T12:02:00"/>
    <d v="2026-08-02T15:00:00"/>
    <d v="2026-08-02T16:18:00"/>
    <d v="2026-08-02T19:00:00"/>
    <d v="2026-08-02T17:57:00"/>
    <s v="已完工"/>
    <s v="上门超时"/>
    <d v="2026-08-02T15:00:00"/>
    <m/>
    <n v="1"/>
    <n v="2"/>
    <n v="0"/>
    <n v="1"/>
    <n v="1"/>
    <n v="0"/>
    <n v="1"/>
    <s v="上门超时"/>
    <n v="1"/>
  </r>
  <r>
    <x v="3"/>
    <x v="1"/>
    <x v="0"/>
    <s v="WH01"/>
    <d v="2026-08-01T09:25:00"/>
    <d v="2026-08-01T11:52:00"/>
    <d v="2026-08-03T10:00:00"/>
    <d v="2026-08-03T09:01:00"/>
    <d v="2026-08-03T15:00:00"/>
    <d v="2026-08-03T10:44:00"/>
    <s v="已完工"/>
    <s v="无"/>
    <m/>
    <m/>
    <n v="1"/>
    <n v="1"/>
    <n v="1"/>
    <n v="1"/>
    <n v="0"/>
    <n v="0"/>
    <n v="0"/>
    <s v="无"/>
    <n v="1"/>
  </r>
  <r>
    <x v="4"/>
    <x v="0"/>
    <x v="1"/>
    <s v="BJ01"/>
    <d v="2026-08-01T09:30:00"/>
    <d v="2026-08-01T12:29:00"/>
    <d v="2026-08-02T15:00:00"/>
    <d v="2026-08-02T14:08:00"/>
    <d v="2026-08-02T19:00:00"/>
    <d v="2026-08-02T15:29:00"/>
    <s v="已完工"/>
    <s v="无"/>
    <m/>
    <m/>
    <n v="0"/>
    <n v="5"/>
    <n v="1"/>
    <n v="1"/>
    <n v="0"/>
    <n v="0"/>
    <n v="0"/>
    <s v="无"/>
    <n v="1"/>
  </r>
  <r>
    <x v="5"/>
    <x v="2"/>
    <x v="1"/>
    <s v="CQ01"/>
    <d v="2026-08-01T10:15:00"/>
    <d v="2026-08-01T12:09:00"/>
    <d v="2026-08-02T17:00:00"/>
    <d v="2026-08-02T16:21:00"/>
    <d v="2026-08-02T21:00:00"/>
    <m/>
    <s v="未完工"/>
    <s v="完工超时"/>
    <d v="2026-08-02T21:00:00"/>
    <m/>
    <n v="0"/>
    <m/>
    <n v="1"/>
    <n v="0"/>
    <n v="1"/>
    <n v="0"/>
    <n v="1"/>
    <s v="完工超时"/>
    <n v="1"/>
  </r>
  <r>
    <x v="6"/>
    <x v="0"/>
    <x v="1"/>
    <s v="BJ01"/>
    <d v="2026-08-01T11:15:00"/>
    <d v="2026-08-01T12:25:00"/>
    <d v="2026-08-02T17:00:00"/>
    <d v="2026-08-02T16:48:00"/>
    <d v="2026-08-02T21:00:00"/>
    <d v="2026-08-02T18:52:00"/>
    <s v="已完工"/>
    <s v="无"/>
    <m/>
    <m/>
    <n v="0"/>
    <n v="5"/>
    <n v="1"/>
    <n v="1"/>
    <n v="0"/>
    <n v="0"/>
    <n v="0"/>
    <s v="无"/>
    <n v="1"/>
  </r>
  <r>
    <x v="7"/>
    <x v="2"/>
    <x v="1"/>
    <s v="CQ02"/>
    <d v="2026-08-01T11:20:00"/>
    <d v="2026-08-01T13:03:00"/>
    <d v="2026-08-02T17:00:00"/>
    <d v="2026-08-02T17:25:00"/>
    <d v="2026-08-02T21:00:00"/>
    <d v="2026-08-02T18:36:00"/>
    <s v="已完工"/>
    <s v="上门超时"/>
    <d v="2026-08-02T17:00:00"/>
    <d v="2026-08-02T20:29:00"/>
    <n v="0"/>
    <n v="4"/>
    <n v="0"/>
    <n v="1"/>
    <n v="1"/>
    <n v="1"/>
    <n v="0"/>
    <s v="上门超时"/>
    <n v="1"/>
  </r>
  <r>
    <x v="8"/>
    <x v="1"/>
    <x v="0"/>
    <s v="WH01"/>
    <d v="2026-08-01T11:30:00"/>
    <d v="2026-08-01T14:11:00"/>
    <d v="2026-08-02T15:00:00"/>
    <d v="2026-08-02T14:16:00"/>
    <d v="2026-08-02T20:00:00"/>
    <d v="2026-08-02T15:45:00"/>
    <s v="已完工"/>
    <s v="无"/>
    <m/>
    <m/>
    <n v="0"/>
    <n v="5"/>
    <n v="1"/>
    <n v="1"/>
    <n v="0"/>
    <n v="0"/>
    <n v="0"/>
    <s v="无"/>
    <n v="1"/>
  </r>
  <r>
    <x v="9"/>
    <x v="2"/>
    <x v="1"/>
    <s v="CQ02"/>
    <d v="2026-08-01T11:50:00"/>
    <d v="2026-08-01T13:36:00"/>
    <d v="2026-08-02T10:00:00"/>
    <d v="2026-08-02T10:27:00"/>
    <d v="2026-08-02T14:00:00"/>
    <d v="2026-08-02T11:39:00"/>
    <s v="已完工"/>
    <s v="上门超时"/>
    <d v="2026-08-02T10:00:00"/>
    <d v="2026-08-02T14:17:00"/>
    <n v="0"/>
    <n v="2"/>
    <n v="0"/>
    <n v="1"/>
    <n v="1"/>
    <n v="1"/>
    <n v="0"/>
    <s v="上门超时"/>
    <n v="1"/>
  </r>
  <r>
    <x v="10"/>
    <x v="1"/>
    <x v="0"/>
    <s v="WH01"/>
    <d v="2026-08-01T12:00:00"/>
    <d v="2026-08-01T13:36:00"/>
    <d v="2026-08-02T12:00:00"/>
    <d v="2026-08-02T11:06:00"/>
    <d v="2026-08-02T17:00:00"/>
    <d v="2026-08-02T12:59:00"/>
    <s v="已完工"/>
    <s v="无"/>
    <m/>
    <m/>
    <n v="0"/>
    <n v="5"/>
    <n v="1"/>
    <n v="1"/>
    <n v="0"/>
    <n v="0"/>
    <n v="0"/>
    <s v="无"/>
    <n v="1"/>
  </r>
  <r>
    <x v="11"/>
    <x v="1"/>
    <x v="1"/>
    <s v="WH01"/>
    <d v="2026-08-01T12:25:00"/>
    <d v="2026-08-01T14:39:00"/>
    <d v="2026-08-02T15:00:00"/>
    <d v="2026-08-02T13:47:00"/>
    <d v="2026-08-02T19:00:00"/>
    <d v="2026-08-02T14:41:00"/>
    <s v="已完工"/>
    <s v="无"/>
    <m/>
    <m/>
    <n v="0"/>
    <n v="5"/>
    <n v="1"/>
    <n v="1"/>
    <n v="0"/>
    <n v="0"/>
    <n v="0"/>
    <s v="无"/>
    <n v="1"/>
  </r>
  <r>
    <x v="12"/>
    <x v="1"/>
    <x v="0"/>
    <s v="WH02"/>
    <d v="2026-08-01T12:50:00"/>
    <m/>
    <d v="2026-08-03T12:00:00"/>
    <m/>
    <d v="2026-08-03T17:00:00"/>
    <m/>
    <s v="未完工"/>
    <s v="派单超时"/>
    <d v="2026-08-03T12:00:00"/>
    <m/>
    <n v="1"/>
    <m/>
    <n v="0"/>
    <n v="0"/>
    <n v="1"/>
    <n v="0"/>
    <n v="1"/>
    <s v="派单超时"/>
    <n v="1"/>
  </r>
  <r>
    <x v="13"/>
    <x v="2"/>
    <x v="0"/>
    <s v="CQ02"/>
    <d v="2026-08-01T13:00:00"/>
    <d v="2026-08-01T16:34:00"/>
    <d v="2026-08-04T10:00:00"/>
    <d v="2026-08-04T09:45:00"/>
    <d v="2026-08-04T15:00:00"/>
    <d v="2026-08-04T12:00:00"/>
    <s v="已完工"/>
    <s v="无"/>
    <m/>
    <m/>
    <n v="0"/>
    <n v="5"/>
    <n v="1"/>
    <n v="1"/>
    <n v="0"/>
    <n v="0"/>
    <n v="0"/>
    <s v="无"/>
    <n v="1"/>
  </r>
  <r>
    <x v="14"/>
    <x v="1"/>
    <x v="1"/>
    <s v="WH01"/>
    <d v="2026-08-01T13:20:00"/>
    <d v="2026-08-01T13:55:00"/>
    <d v="2026-08-02T15:00:00"/>
    <d v="2026-08-02T16:10:00"/>
    <d v="2026-08-02T19:00:00"/>
    <d v="2026-08-02T18:38:00"/>
    <s v="已完工"/>
    <s v="上门超时"/>
    <d v="2026-08-02T15:00:00"/>
    <m/>
    <n v="0"/>
    <n v="3"/>
    <n v="0"/>
    <n v="1"/>
    <n v="1"/>
    <n v="0"/>
    <n v="1"/>
    <s v="上门超时"/>
    <n v="1"/>
  </r>
  <r>
    <x v="15"/>
    <x v="1"/>
    <x v="1"/>
    <s v="WH01"/>
    <d v="2026-08-01T13:25:00"/>
    <d v="2026-08-01T15:31:00"/>
    <d v="2026-08-03T15:00:00"/>
    <d v="2026-08-03T14:13:00"/>
    <d v="2026-08-03T19:00:00"/>
    <d v="2026-08-03T15:53:00"/>
    <s v="已完工"/>
    <s v="无"/>
    <m/>
    <m/>
    <n v="0"/>
    <n v="4"/>
    <n v="1"/>
    <n v="1"/>
    <n v="0"/>
    <n v="0"/>
    <n v="0"/>
    <s v="无"/>
    <n v="1"/>
  </r>
  <r>
    <x v="16"/>
    <x v="1"/>
    <x v="0"/>
    <s v="WH02"/>
    <d v="2026-08-01T13:30:00"/>
    <m/>
    <d v="2026-08-02T17:00:00"/>
    <m/>
    <d v="2026-08-02T22:00:00"/>
    <m/>
    <s v="未完工"/>
    <s v="派单超时"/>
    <d v="2026-08-02T17:00:00"/>
    <m/>
    <n v="0"/>
    <m/>
    <n v="0"/>
    <n v="0"/>
    <n v="1"/>
    <n v="0"/>
    <n v="1"/>
    <s v="派单超时"/>
    <n v="1"/>
  </r>
  <r>
    <x v="17"/>
    <x v="2"/>
    <x v="1"/>
    <s v="CQ02"/>
    <d v="2026-08-01T14:15:00"/>
    <d v="2026-08-01T17:36:00"/>
    <d v="2026-08-02T10:00:00"/>
    <d v="2026-08-02T11:34:00"/>
    <d v="2026-08-02T14:00:00"/>
    <d v="2026-08-02T13:47:00"/>
    <s v="已完工"/>
    <s v="上门超时"/>
    <d v="2026-08-02T10:00:00"/>
    <d v="2026-08-02T18:56:00"/>
    <n v="0"/>
    <n v="2"/>
    <n v="0"/>
    <n v="1"/>
    <n v="1"/>
    <n v="1"/>
    <n v="0"/>
    <s v="上门超时"/>
    <n v="1"/>
  </r>
  <r>
    <x v="18"/>
    <x v="0"/>
    <x v="0"/>
    <s v="BJ02"/>
    <d v="2026-08-01T16:20:00"/>
    <d v="2026-08-01T18:32:00"/>
    <d v="2026-08-03T10:00:00"/>
    <d v="2026-08-03T09:13:00"/>
    <d v="2026-08-03T15:00:00"/>
    <d v="2026-08-03T11:40:00"/>
    <s v="已完工"/>
    <s v="无"/>
    <m/>
    <m/>
    <n v="0"/>
    <n v="5"/>
    <n v="1"/>
    <n v="1"/>
    <n v="0"/>
    <n v="0"/>
    <n v="0"/>
    <s v="无"/>
    <n v="1"/>
  </r>
  <r>
    <x v="19"/>
    <x v="2"/>
    <x v="1"/>
    <s v="CQ02"/>
    <d v="2026-08-01T16:20:00"/>
    <d v="2026-08-01T17:44:00"/>
    <d v="2026-08-03T10:00:00"/>
    <d v="2026-08-03T09:11:00"/>
    <d v="2026-08-03T14:00:00"/>
    <d v="2026-08-03T11:35:00"/>
    <s v="已完工"/>
    <s v="无"/>
    <m/>
    <m/>
    <n v="1"/>
    <n v="2"/>
    <n v="1"/>
    <n v="1"/>
    <n v="0"/>
    <n v="0"/>
    <n v="0"/>
    <s v="无"/>
    <n v="1"/>
  </r>
  <r>
    <x v="20"/>
    <x v="2"/>
    <x v="2"/>
    <s v="CQ01"/>
    <d v="2026-08-01T16:30:00"/>
    <d v="2026-08-01T18:30:00"/>
    <d v="2026-08-02T17:00:00"/>
    <d v="2026-08-02T16:01:00"/>
    <d v="2026-08-02T20:00:00"/>
    <d v="2026-08-02T17:32:00"/>
    <s v="已完工"/>
    <s v="无"/>
    <m/>
    <m/>
    <n v="0"/>
    <n v="5"/>
    <n v="1"/>
    <n v="1"/>
    <n v="0"/>
    <n v="0"/>
    <n v="0"/>
    <s v="无"/>
    <n v="1"/>
  </r>
  <r>
    <x v="21"/>
    <x v="2"/>
    <x v="0"/>
    <s v="CQ02"/>
    <d v="2026-08-01T17:00:00"/>
    <d v="2026-08-01T19:41:00"/>
    <d v="2026-08-04T10:00:00"/>
    <d v="2026-08-04T09:46:00"/>
    <d v="2026-08-04T15:00:00"/>
    <d v="2026-08-04T16:58:00"/>
    <s v="已完工"/>
    <s v="完工超时"/>
    <d v="2026-08-04T15:00:00"/>
    <m/>
    <n v="0"/>
    <n v="4"/>
    <n v="1"/>
    <n v="0"/>
    <n v="1"/>
    <n v="0"/>
    <n v="1"/>
    <s v="完工超时"/>
    <n v="1"/>
  </r>
  <r>
    <x v="22"/>
    <x v="0"/>
    <x v="1"/>
    <s v="BJ01"/>
    <d v="2026-08-01T18:35:00"/>
    <d v="2026-08-01T19:28:00"/>
    <d v="2026-08-02T12:00:00"/>
    <d v="2026-08-02T11:41:00"/>
    <d v="2026-08-02T16:00:00"/>
    <d v="2026-08-02T13:29:00"/>
    <s v="已完工"/>
    <s v="无"/>
    <m/>
    <m/>
    <n v="0"/>
    <n v="5"/>
    <n v="1"/>
    <n v="1"/>
    <n v="0"/>
    <n v="0"/>
    <n v="0"/>
    <s v="无"/>
    <n v="1"/>
  </r>
  <r>
    <x v="23"/>
    <x v="2"/>
    <x v="1"/>
    <s v="CQ02"/>
    <d v="2026-08-01T18:50:00"/>
    <d v="2026-08-01T21:10:00"/>
    <d v="2026-08-02T10:00:00"/>
    <d v="2026-08-02T09:23:00"/>
    <d v="2026-08-02T14:00:00"/>
    <d v="2026-08-02T10:16:00"/>
    <s v="已完工"/>
    <s v="无"/>
    <m/>
    <m/>
    <n v="0"/>
    <n v="4"/>
    <n v="1"/>
    <n v="1"/>
    <n v="0"/>
    <n v="0"/>
    <n v="0"/>
    <s v="无"/>
    <n v="1"/>
  </r>
  <r>
    <x v="24"/>
    <x v="1"/>
    <x v="0"/>
    <s v="WH02"/>
    <d v="2026-08-02T08:30:00"/>
    <d v="2026-08-02T10:14:00"/>
    <d v="2026-08-04T12:00:00"/>
    <d v="2026-08-04T11:30:00"/>
    <d v="2026-08-04T17:00:00"/>
    <m/>
    <s v="未完工"/>
    <s v="完工超时"/>
    <d v="2026-08-04T17:00:00"/>
    <m/>
    <n v="0"/>
    <m/>
    <n v="1"/>
    <n v="0"/>
    <n v="1"/>
    <n v="0"/>
    <n v="1"/>
    <s v="完工超时"/>
    <n v="1"/>
  </r>
  <r>
    <x v="25"/>
    <x v="1"/>
    <x v="1"/>
    <s v="WH02"/>
    <d v="2026-08-02T08:55:00"/>
    <d v="2026-08-02T10:50:00"/>
    <d v="2026-08-03T15:00:00"/>
    <d v="2026-08-03T14:22:00"/>
    <d v="2026-08-03T19:00:00"/>
    <d v="2026-08-03T16:10:00"/>
    <s v="已完工"/>
    <s v="无"/>
    <m/>
    <m/>
    <n v="0"/>
    <n v="5"/>
    <n v="1"/>
    <n v="1"/>
    <n v="0"/>
    <n v="0"/>
    <n v="0"/>
    <s v="无"/>
    <n v="1"/>
  </r>
  <r>
    <x v="26"/>
    <x v="1"/>
    <x v="0"/>
    <s v="WH01"/>
    <d v="2026-08-02T09:05:00"/>
    <d v="2026-08-02T12:32:00"/>
    <d v="2026-08-03T10:00:00"/>
    <d v="2026-08-03T09:09:00"/>
    <d v="2026-08-03T15:00:00"/>
    <d v="2026-08-03T10:34:00"/>
    <s v="已完工"/>
    <s v="无"/>
    <m/>
    <m/>
    <n v="0"/>
    <n v="5"/>
    <n v="1"/>
    <n v="1"/>
    <n v="0"/>
    <n v="0"/>
    <n v="0"/>
    <s v="无"/>
    <n v="1"/>
  </r>
  <r>
    <x v="27"/>
    <x v="2"/>
    <x v="1"/>
    <s v="CQ02"/>
    <d v="2026-08-02T09:10:00"/>
    <d v="2026-08-02T12:54:00"/>
    <d v="2026-08-03T15:00:00"/>
    <d v="2026-08-03T14:16:00"/>
    <d v="2026-08-03T19:00:00"/>
    <d v="2026-08-03T19:54:00"/>
    <s v="已完工"/>
    <s v="完工超时"/>
    <d v="2026-08-03T19:00:00"/>
    <d v="2026-08-03T21:03:00"/>
    <n v="1"/>
    <m/>
    <n v="1"/>
    <n v="0"/>
    <n v="1"/>
    <n v="1"/>
    <n v="0"/>
    <s v="完工超时"/>
    <n v="1"/>
  </r>
  <r>
    <x v="28"/>
    <x v="0"/>
    <x v="0"/>
    <s v="BJ02"/>
    <d v="2026-08-02T10:15:00"/>
    <d v="2026-08-02T14:05:00"/>
    <d v="2026-08-05T15:00:00"/>
    <d v="2026-08-05T13:54:00"/>
    <d v="2026-08-05T20:00:00"/>
    <d v="2026-08-05T15:20:00"/>
    <s v="已完工"/>
    <s v="无"/>
    <m/>
    <m/>
    <n v="0"/>
    <m/>
    <n v="1"/>
    <n v="1"/>
    <n v="0"/>
    <n v="0"/>
    <n v="0"/>
    <s v="无"/>
    <n v="1"/>
  </r>
  <r>
    <x v="29"/>
    <x v="1"/>
    <x v="0"/>
    <s v="WH02"/>
    <d v="2026-08-02T10:20:00"/>
    <d v="2026-08-02T13:49:00"/>
    <d v="2026-08-04T15:00:00"/>
    <d v="2026-08-04T14:49:00"/>
    <d v="2026-08-04T20:00:00"/>
    <d v="2026-08-04T17:07:00"/>
    <s v="已完工"/>
    <s v="无"/>
    <m/>
    <m/>
    <n v="0"/>
    <n v="5"/>
    <n v="1"/>
    <n v="1"/>
    <n v="0"/>
    <n v="0"/>
    <n v="0"/>
    <s v="无"/>
    <n v="1"/>
  </r>
  <r>
    <x v="30"/>
    <x v="1"/>
    <x v="1"/>
    <s v="WH02"/>
    <d v="2026-08-02T10:25:00"/>
    <d v="2026-08-02T13:39:00"/>
    <d v="2026-08-05T15:00:00"/>
    <d v="2026-08-05T13:49:00"/>
    <d v="2026-08-05T19:00:00"/>
    <d v="2026-08-05T15:28:00"/>
    <s v="已完工"/>
    <s v="无"/>
    <m/>
    <m/>
    <n v="0"/>
    <n v="3"/>
    <n v="1"/>
    <n v="1"/>
    <n v="0"/>
    <n v="0"/>
    <n v="0"/>
    <s v="无"/>
    <n v="1"/>
  </r>
  <r>
    <x v="31"/>
    <x v="0"/>
    <x v="0"/>
    <s v="BJ02"/>
    <d v="2026-08-02T11:00:00"/>
    <d v="2026-08-02T13:22:00"/>
    <d v="2026-08-03T17:00:00"/>
    <d v="2026-08-03T16:10:00"/>
    <d v="2026-08-03T22:00:00"/>
    <d v="2026-08-03T23:46:00"/>
    <s v="已完工"/>
    <s v="完工超时"/>
    <d v="2026-08-03T22:00:00"/>
    <d v="2026-08-04T00:35:00"/>
    <n v="0"/>
    <n v="4"/>
    <n v="1"/>
    <n v="0"/>
    <n v="1"/>
    <n v="1"/>
    <n v="0"/>
    <s v="完工超时"/>
    <n v="1"/>
  </r>
  <r>
    <x v="32"/>
    <x v="2"/>
    <x v="1"/>
    <s v="CQ02"/>
    <d v="2026-08-02T11:10:00"/>
    <d v="2026-08-02T12:07:00"/>
    <d v="2026-08-03T15:00:00"/>
    <d v="2026-08-03T14:33:00"/>
    <d v="2026-08-03T19:00:00"/>
    <d v="2026-08-03T16:59:00"/>
    <s v="已完工"/>
    <s v="无"/>
    <m/>
    <m/>
    <n v="0"/>
    <n v="4"/>
    <n v="1"/>
    <n v="1"/>
    <n v="0"/>
    <n v="0"/>
    <n v="0"/>
    <s v="无"/>
    <n v="1"/>
  </r>
  <r>
    <x v="33"/>
    <x v="1"/>
    <x v="1"/>
    <s v="WH01"/>
    <d v="2026-08-02T11:35:00"/>
    <d v="2026-08-02T14:40:00"/>
    <d v="2026-08-04T15:00:00"/>
    <d v="2026-08-04T14:33:00"/>
    <d v="2026-08-04T19:00:00"/>
    <d v="2026-08-04T16:33:00"/>
    <s v="已完工"/>
    <s v="无"/>
    <m/>
    <m/>
    <n v="0"/>
    <n v="4"/>
    <n v="1"/>
    <n v="1"/>
    <n v="0"/>
    <n v="0"/>
    <n v="0"/>
    <s v="无"/>
    <n v="1"/>
  </r>
  <r>
    <x v="34"/>
    <x v="0"/>
    <x v="2"/>
    <s v="BJ02"/>
    <d v="2026-08-02T11:50:00"/>
    <d v="2026-08-02T14:40:00"/>
    <d v="2026-08-04T15:00:00"/>
    <d v="2026-08-04T14:24:00"/>
    <d v="2026-08-04T18:00:00"/>
    <d v="2026-08-04T16:36:00"/>
    <s v="已完工"/>
    <s v="无"/>
    <m/>
    <m/>
    <n v="0"/>
    <n v="4"/>
    <n v="1"/>
    <n v="1"/>
    <n v="0"/>
    <n v="0"/>
    <n v="0"/>
    <s v="无"/>
    <n v="1"/>
  </r>
  <r>
    <x v="35"/>
    <x v="2"/>
    <x v="0"/>
    <s v="CQ02"/>
    <d v="2026-08-02T12:05:00"/>
    <d v="2026-08-02T14:10:00"/>
    <d v="2026-08-03T12:00:00"/>
    <d v="2026-08-03T12:38:00"/>
    <d v="2026-08-03T17:00:00"/>
    <d v="2026-08-03T14:49:00"/>
    <s v="已完工"/>
    <s v="上门超时"/>
    <d v="2026-08-03T12:00:00"/>
    <d v="2026-08-03T15:33:00"/>
    <n v="0"/>
    <n v="2"/>
    <n v="0"/>
    <n v="1"/>
    <n v="1"/>
    <n v="1"/>
    <n v="0"/>
    <s v="上门超时"/>
    <n v="1"/>
  </r>
  <r>
    <x v="36"/>
    <x v="2"/>
    <x v="1"/>
    <s v="CQ02"/>
    <d v="2026-08-02T12:20:00"/>
    <d v="2026-08-02T16:03:00"/>
    <d v="2026-08-04T17:00:00"/>
    <d v="2026-08-04T16:43:00"/>
    <d v="2026-08-04T21:00:00"/>
    <d v="2026-08-04T18:59:00"/>
    <s v="已完工"/>
    <s v="无"/>
    <m/>
    <m/>
    <n v="0"/>
    <n v="5"/>
    <n v="1"/>
    <n v="1"/>
    <n v="0"/>
    <n v="0"/>
    <n v="0"/>
    <s v="无"/>
    <n v="1"/>
  </r>
  <r>
    <x v="37"/>
    <x v="1"/>
    <x v="1"/>
    <s v="WH01"/>
    <d v="2026-08-02T12:35:00"/>
    <d v="2026-08-02T16:26:00"/>
    <d v="2026-08-04T15:00:00"/>
    <m/>
    <d v="2026-08-04T19:00:00"/>
    <m/>
    <s v="未完工"/>
    <s v="上门超时"/>
    <d v="2026-08-04T15:00:00"/>
    <m/>
    <n v="0"/>
    <m/>
    <n v="0"/>
    <n v="0"/>
    <n v="1"/>
    <n v="0"/>
    <n v="1"/>
    <s v="上门超时"/>
    <n v="1"/>
  </r>
  <r>
    <x v="38"/>
    <x v="0"/>
    <x v="1"/>
    <s v="BJ01"/>
    <d v="2026-08-02T12:40:00"/>
    <d v="2026-08-02T13:28:00"/>
    <d v="2026-08-05T15:00:00"/>
    <d v="2026-08-05T14:47:00"/>
    <d v="2026-08-05T19:00:00"/>
    <d v="2026-08-05T17:06:00"/>
    <s v="已完工"/>
    <s v="无"/>
    <m/>
    <m/>
    <n v="0"/>
    <n v="5"/>
    <n v="1"/>
    <n v="1"/>
    <n v="0"/>
    <n v="0"/>
    <n v="0"/>
    <s v="无"/>
    <n v="1"/>
  </r>
  <r>
    <x v="39"/>
    <x v="0"/>
    <x v="0"/>
    <s v="BJ02"/>
    <d v="2026-08-02T13:00:00"/>
    <m/>
    <d v="2026-08-03T12:00:00"/>
    <m/>
    <d v="2026-08-03T17:00:00"/>
    <m/>
    <s v="未完工"/>
    <s v="派单超时"/>
    <d v="2026-08-03T12:00:00"/>
    <m/>
    <n v="0"/>
    <m/>
    <n v="0"/>
    <n v="0"/>
    <n v="1"/>
    <n v="0"/>
    <n v="1"/>
    <s v="派单超时"/>
    <n v="1"/>
  </r>
  <r>
    <x v="40"/>
    <x v="2"/>
    <x v="0"/>
    <s v="CQ01"/>
    <d v="2026-08-02T13:35:00"/>
    <d v="2026-08-02T15:36:00"/>
    <d v="2026-08-03T12:00:00"/>
    <m/>
    <d v="2026-08-03T17:00:00"/>
    <m/>
    <s v="未完工"/>
    <s v="上门超时"/>
    <d v="2026-08-03T12:00:00"/>
    <m/>
    <n v="0"/>
    <m/>
    <n v="0"/>
    <n v="0"/>
    <n v="1"/>
    <n v="0"/>
    <n v="1"/>
    <s v="上门超时"/>
    <n v="1"/>
  </r>
  <r>
    <x v="41"/>
    <x v="1"/>
    <x v="0"/>
    <s v="WH02"/>
    <d v="2026-08-02T14:20:00"/>
    <d v="2026-08-02T15:38:00"/>
    <d v="2026-08-03T17:00:00"/>
    <d v="2026-08-03T16:40:00"/>
    <d v="2026-08-03T22:00:00"/>
    <d v="2026-08-03T18:42:00"/>
    <s v="已完工"/>
    <s v="无"/>
    <m/>
    <m/>
    <n v="0"/>
    <n v="4"/>
    <n v="1"/>
    <n v="1"/>
    <n v="0"/>
    <n v="0"/>
    <n v="0"/>
    <s v="无"/>
    <n v="1"/>
  </r>
  <r>
    <x v="42"/>
    <x v="0"/>
    <x v="0"/>
    <s v="BJ02"/>
    <d v="2026-08-02T14:35:00"/>
    <d v="2026-08-02T16:44:00"/>
    <d v="2026-08-05T15:00:00"/>
    <d v="2026-08-05T14:50:00"/>
    <d v="2026-08-05T20:00:00"/>
    <d v="2026-08-05T16:38:00"/>
    <s v="已完工"/>
    <s v="无"/>
    <m/>
    <m/>
    <n v="0"/>
    <n v="4"/>
    <n v="1"/>
    <n v="1"/>
    <n v="0"/>
    <n v="0"/>
    <n v="0"/>
    <s v="无"/>
    <n v="1"/>
  </r>
  <r>
    <x v="43"/>
    <x v="1"/>
    <x v="2"/>
    <s v="WH02"/>
    <d v="2026-08-02T14:35:00"/>
    <d v="2026-08-02T15:05:00"/>
    <d v="2026-08-03T10:00:00"/>
    <d v="2026-08-03T09:40:00"/>
    <d v="2026-08-03T13:00:00"/>
    <d v="2026-08-03T11:28:00"/>
    <s v="已完工"/>
    <s v="无"/>
    <m/>
    <m/>
    <n v="0"/>
    <n v="4"/>
    <n v="1"/>
    <n v="1"/>
    <n v="0"/>
    <n v="0"/>
    <n v="0"/>
    <s v="无"/>
    <n v="1"/>
  </r>
  <r>
    <x v="44"/>
    <x v="0"/>
    <x v="0"/>
    <s v="BJ02"/>
    <d v="2026-08-02T14:55:00"/>
    <d v="2026-08-02T17:37:00"/>
    <d v="2026-08-03T12:00:00"/>
    <d v="2026-08-03T11:28:00"/>
    <d v="2026-08-03T17:00:00"/>
    <d v="2026-08-03T13:38:00"/>
    <s v="已完工"/>
    <s v="无"/>
    <m/>
    <m/>
    <n v="0"/>
    <n v="5"/>
    <n v="1"/>
    <n v="1"/>
    <n v="0"/>
    <n v="0"/>
    <n v="0"/>
    <s v="无"/>
    <n v="1"/>
  </r>
  <r>
    <x v="45"/>
    <x v="0"/>
    <x v="2"/>
    <s v="BJ01"/>
    <d v="2026-08-02T15:05:00"/>
    <d v="2026-08-02T17:50:00"/>
    <d v="2026-08-03T15:00:00"/>
    <d v="2026-08-03T14:27:00"/>
    <d v="2026-08-03T18:00:00"/>
    <d v="2026-08-03T16:07:00"/>
    <s v="已完工"/>
    <s v="无"/>
    <m/>
    <m/>
    <n v="0"/>
    <n v="5"/>
    <n v="1"/>
    <n v="1"/>
    <n v="0"/>
    <n v="0"/>
    <n v="0"/>
    <s v="无"/>
    <n v="1"/>
  </r>
  <r>
    <x v="46"/>
    <x v="1"/>
    <x v="2"/>
    <s v="WH01"/>
    <d v="2026-08-02T16:00:00"/>
    <d v="2026-08-02T18:04:00"/>
    <d v="2026-08-03T15:00:00"/>
    <d v="2026-08-03T14:21:00"/>
    <d v="2026-08-03T18:00:00"/>
    <d v="2026-08-03T16:35:00"/>
    <s v="已完工"/>
    <s v="无"/>
    <m/>
    <m/>
    <n v="0"/>
    <n v="5"/>
    <n v="1"/>
    <n v="1"/>
    <n v="0"/>
    <n v="0"/>
    <n v="0"/>
    <s v="无"/>
    <n v="1"/>
  </r>
  <r>
    <x v="47"/>
    <x v="0"/>
    <x v="1"/>
    <s v="BJ02"/>
    <d v="2026-08-02T17:45:00"/>
    <d v="2026-08-02T21:33:00"/>
    <d v="2026-08-03T12:00:00"/>
    <d v="2026-08-03T11:09:00"/>
    <d v="2026-08-03T16:00:00"/>
    <d v="2026-08-03T13:21:00"/>
    <s v="已完工"/>
    <s v="无"/>
    <m/>
    <m/>
    <n v="0"/>
    <n v="5"/>
    <n v="1"/>
    <n v="1"/>
    <n v="0"/>
    <n v="0"/>
    <n v="0"/>
    <s v="无"/>
    <n v="1"/>
  </r>
  <r>
    <x v="48"/>
    <x v="0"/>
    <x v="1"/>
    <s v="BJ02"/>
    <d v="2026-08-02T18:25:00"/>
    <d v="2026-08-03T13:04:00"/>
    <d v="2026-08-03T12:00:00"/>
    <d v="2026-08-03T14:24:00"/>
    <d v="2026-08-03T16:00:00"/>
    <d v="2026-08-03T15:56:00"/>
    <s v="已完工"/>
    <s v="派单超时"/>
    <d v="2026-08-03T12:00:00"/>
    <d v="2026-08-03T19:46:00"/>
    <n v="0"/>
    <n v="3"/>
    <n v="0"/>
    <n v="1"/>
    <n v="1"/>
    <n v="1"/>
    <n v="0"/>
    <s v="派单超时"/>
    <n v="1"/>
  </r>
  <r>
    <x v="49"/>
    <x v="0"/>
    <x v="1"/>
    <s v="BJ02"/>
    <d v="2026-08-02T18:35:00"/>
    <d v="2026-08-02T22:34:00"/>
    <d v="2026-08-03T17:00:00"/>
    <d v="2026-08-03T16:12:00"/>
    <d v="2026-08-03T21:00:00"/>
    <d v="2026-08-03T21:43:00"/>
    <s v="已完工"/>
    <s v="完工超时"/>
    <d v="2026-08-03T21:00:00"/>
    <m/>
    <n v="1"/>
    <n v="1"/>
    <n v="1"/>
    <n v="0"/>
    <n v="1"/>
    <n v="0"/>
    <n v="1"/>
    <s v="完工超时"/>
    <n v="1"/>
  </r>
  <r>
    <x v="50"/>
    <x v="2"/>
    <x v="1"/>
    <s v="CQ02"/>
    <d v="2026-08-02T18:55:00"/>
    <d v="2026-08-02T22:41:00"/>
    <d v="2026-08-03T15:00:00"/>
    <d v="2026-08-03T14:26:00"/>
    <d v="2026-08-03T19:00:00"/>
    <d v="2026-08-03T15:29:00"/>
    <s v="已完工"/>
    <s v="无"/>
    <m/>
    <m/>
    <n v="0"/>
    <n v="5"/>
    <n v="1"/>
    <n v="1"/>
    <n v="0"/>
    <n v="0"/>
    <n v="0"/>
    <s v="无"/>
    <n v="1"/>
  </r>
  <r>
    <x v="51"/>
    <x v="1"/>
    <x v="1"/>
    <s v="WH02"/>
    <d v="2026-08-02T18:55:00"/>
    <d v="2026-08-04T18:11:00"/>
    <d v="2026-08-04T17:00:00"/>
    <d v="2026-08-04T19:11:00"/>
    <d v="2026-08-04T21:00:00"/>
    <d v="2026-08-04T20:30:00"/>
    <s v="已完工"/>
    <s v="派单超时"/>
    <d v="2026-08-04T17:00:00"/>
    <d v="2026-08-05T01:19:00"/>
    <n v="0"/>
    <n v="5"/>
    <n v="0"/>
    <n v="1"/>
    <n v="1"/>
    <n v="1"/>
    <n v="0"/>
    <s v="派单超时"/>
    <n v="1"/>
  </r>
  <r>
    <x v="52"/>
    <x v="0"/>
    <x v="1"/>
    <s v="BJ01"/>
    <d v="2026-08-03T08:05:00"/>
    <d v="2026-08-03T10:49:00"/>
    <d v="2026-08-05T15:00:00"/>
    <d v="2026-08-05T13:55:00"/>
    <d v="2026-08-05T19:00:00"/>
    <d v="2026-08-05T16:23:00"/>
    <s v="已完工"/>
    <s v="无"/>
    <m/>
    <m/>
    <n v="0"/>
    <n v="4"/>
    <n v="1"/>
    <n v="1"/>
    <n v="0"/>
    <n v="0"/>
    <n v="0"/>
    <s v="无"/>
    <n v="1"/>
  </r>
  <r>
    <x v="53"/>
    <x v="1"/>
    <x v="2"/>
    <s v="WH02"/>
    <d v="2026-08-03T08:30:00"/>
    <d v="2026-08-03T10:49:00"/>
    <d v="2026-08-06T12:00:00"/>
    <d v="2026-08-06T11:11:00"/>
    <d v="2026-08-06T15:00:00"/>
    <d v="2026-08-06T13:13:00"/>
    <s v="已完工"/>
    <s v="无"/>
    <m/>
    <m/>
    <n v="0"/>
    <n v="5"/>
    <n v="1"/>
    <n v="1"/>
    <n v="0"/>
    <n v="0"/>
    <n v="0"/>
    <s v="无"/>
    <n v="1"/>
  </r>
  <r>
    <x v="54"/>
    <x v="0"/>
    <x v="1"/>
    <s v="BJ01"/>
    <d v="2026-08-03T08:45:00"/>
    <d v="2026-08-03T11:38:00"/>
    <d v="2026-08-05T10:00:00"/>
    <d v="2026-08-05T08:59:00"/>
    <d v="2026-08-05T14:00:00"/>
    <d v="2026-08-05T11:27:00"/>
    <s v="已完工"/>
    <s v="无"/>
    <m/>
    <m/>
    <n v="0"/>
    <n v="4"/>
    <n v="1"/>
    <n v="1"/>
    <n v="0"/>
    <n v="0"/>
    <n v="0"/>
    <s v="无"/>
    <n v="1"/>
  </r>
  <r>
    <x v="55"/>
    <x v="0"/>
    <x v="0"/>
    <s v="BJ01"/>
    <d v="2026-08-03T09:00:00"/>
    <d v="2026-08-03T11:00:00"/>
    <d v="2026-08-04T12:00:00"/>
    <d v="2026-08-04T10:59:00"/>
    <d v="2026-08-04T17:00:00"/>
    <d v="2026-08-04T12:43:00"/>
    <s v="已完工"/>
    <s v="无"/>
    <m/>
    <m/>
    <n v="0"/>
    <m/>
    <n v="1"/>
    <n v="1"/>
    <n v="0"/>
    <n v="0"/>
    <n v="0"/>
    <s v="无"/>
    <n v="1"/>
  </r>
  <r>
    <x v="56"/>
    <x v="1"/>
    <x v="2"/>
    <s v="WH02"/>
    <d v="2026-08-03T09:10:00"/>
    <d v="2026-08-03T12:42:00"/>
    <d v="2026-08-05T15:00:00"/>
    <d v="2026-08-05T14:04:00"/>
    <d v="2026-08-05T18:00:00"/>
    <d v="2026-08-05T15:03:00"/>
    <s v="已完工"/>
    <s v="无"/>
    <m/>
    <m/>
    <n v="0"/>
    <n v="5"/>
    <n v="1"/>
    <n v="1"/>
    <n v="0"/>
    <n v="0"/>
    <n v="0"/>
    <s v="无"/>
    <n v="1"/>
  </r>
  <r>
    <x v="57"/>
    <x v="2"/>
    <x v="0"/>
    <s v="CQ02"/>
    <d v="2026-08-03T09:45:00"/>
    <d v="2026-08-03T10:17:00"/>
    <d v="2026-08-04T12:00:00"/>
    <d v="2026-08-04T11:40:00"/>
    <d v="2026-08-04T17:00:00"/>
    <d v="2026-08-04T13:12:00"/>
    <s v="已完工"/>
    <s v="无"/>
    <m/>
    <m/>
    <n v="0"/>
    <m/>
    <n v="1"/>
    <n v="1"/>
    <n v="0"/>
    <n v="0"/>
    <n v="0"/>
    <s v="无"/>
    <n v="1"/>
  </r>
  <r>
    <x v="58"/>
    <x v="2"/>
    <x v="1"/>
    <s v="CQ02"/>
    <d v="2026-08-03T09:45:00"/>
    <d v="2026-08-03T11:47:00"/>
    <d v="2026-08-06T17:00:00"/>
    <d v="2026-08-06T16:15:00"/>
    <d v="2026-08-06T21:00:00"/>
    <d v="2026-08-06T17:41:00"/>
    <s v="已完工"/>
    <s v="无"/>
    <m/>
    <m/>
    <n v="0"/>
    <n v="5"/>
    <n v="1"/>
    <n v="1"/>
    <n v="0"/>
    <n v="0"/>
    <n v="0"/>
    <s v="无"/>
    <n v="1"/>
  </r>
  <r>
    <x v="59"/>
    <x v="0"/>
    <x v="2"/>
    <s v="BJ02"/>
    <d v="2026-08-03T10:45:00"/>
    <d v="2026-08-03T14:00:00"/>
    <d v="2026-08-05T15:00:00"/>
    <d v="2026-08-05T14:40:00"/>
    <d v="2026-08-05T18:00:00"/>
    <d v="2026-08-05T17:04:00"/>
    <s v="已完工"/>
    <s v="无"/>
    <m/>
    <m/>
    <n v="0"/>
    <n v="3"/>
    <n v="1"/>
    <n v="1"/>
    <n v="0"/>
    <n v="0"/>
    <n v="0"/>
    <s v="无"/>
    <n v="1"/>
  </r>
  <r>
    <x v="60"/>
    <x v="1"/>
    <x v="1"/>
    <s v="WH02"/>
    <d v="2026-08-03T10:45:00"/>
    <d v="2026-08-03T14:35:00"/>
    <d v="2026-08-05T15:00:00"/>
    <d v="2026-08-05T16:15:00"/>
    <d v="2026-08-05T19:00:00"/>
    <d v="2026-08-05T17:33:00"/>
    <s v="已完工"/>
    <s v="上门超时"/>
    <d v="2026-08-05T15:00:00"/>
    <d v="2026-08-05T21:44:00"/>
    <n v="0"/>
    <n v="3"/>
    <n v="0"/>
    <n v="1"/>
    <n v="1"/>
    <n v="1"/>
    <n v="0"/>
    <s v="上门超时"/>
    <n v="1"/>
  </r>
  <r>
    <x v="61"/>
    <x v="2"/>
    <x v="1"/>
    <s v="CQ01"/>
    <d v="2026-08-03T12:10:00"/>
    <d v="2026-08-03T12:54:00"/>
    <d v="2026-08-04T15:00:00"/>
    <d v="2026-08-04T14:19:00"/>
    <d v="2026-08-04T19:00:00"/>
    <d v="2026-08-04T16:18:00"/>
    <s v="已完工"/>
    <s v="无"/>
    <m/>
    <m/>
    <n v="0"/>
    <n v="3"/>
    <n v="1"/>
    <n v="1"/>
    <n v="0"/>
    <n v="0"/>
    <n v="0"/>
    <s v="无"/>
    <n v="1"/>
  </r>
  <r>
    <x v="62"/>
    <x v="1"/>
    <x v="1"/>
    <s v="WH02"/>
    <d v="2026-08-03T12:15:00"/>
    <d v="2026-08-03T15:32:00"/>
    <d v="2026-08-05T15:00:00"/>
    <d v="2026-08-05T14:11:00"/>
    <d v="2026-08-05T19:00:00"/>
    <d v="2026-08-05T16:02:00"/>
    <s v="已完工"/>
    <s v="无"/>
    <m/>
    <m/>
    <n v="0"/>
    <n v="4"/>
    <n v="1"/>
    <n v="1"/>
    <n v="0"/>
    <n v="0"/>
    <n v="0"/>
    <s v="无"/>
    <n v="1"/>
  </r>
  <r>
    <x v="63"/>
    <x v="0"/>
    <x v="0"/>
    <s v="BJ02"/>
    <d v="2026-08-03T12:50:00"/>
    <d v="2026-08-03T15:58:00"/>
    <d v="2026-08-04T12:00:00"/>
    <d v="2026-08-04T10:51:00"/>
    <d v="2026-08-04T17:00:00"/>
    <d v="2026-08-04T12:04:00"/>
    <s v="已完工"/>
    <s v="无"/>
    <m/>
    <m/>
    <n v="0"/>
    <n v="4"/>
    <n v="1"/>
    <n v="1"/>
    <n v="0"/>
    <n v="0"/>
    <n v="0"/>
    <s v="无"/>
    <n v="1"/>
  </r>
  <r>
    <x v="64"/>
    <x v="1"/>
    <x v="0"/>
    <s v="WH02"/>
    <d v="2026-08-03T13:10:00"/>
    <d v="2026-08-03T16:58:00"/>
    <d v="2026-08-06T10:00:00"/>
    <d v="2026-08-06T09:36:00"/>
    <d v="2026-08-06T15:00:00"/>
    <d v="2026-08-06T17:45:00"/>
    <s v="已完工"/>
    <s v="完工超时"/>
    <d v="2026-08-06T15:00:00"/>
    <d v="2026-08-06T18:36:00"/>
    <n v="0"/>
    <m/>
    <n v="1"/>
    <n v="0"/>
    <n v="1"/>
    <n v="1"/>
    <n v="0"/>
    <s v="完工超时"/>
    <n v="1"/>
  </r>
  <r>
    <x v="65"/>
    <x v="1"/>
    <x v="0"/>
    <s v="WH01"/>
    <d v="2026-08-03T13:15:00"/>
    <d v="2026-08-03T14:53:00"/>
    <d v="2026-08-04T12:00:00"/>
    <d v="2026-08-04T11:35:00"/>
    <d v="2026-08-04T17:00:00"/>
    <d v="2026-08-04T13:05:00"/>
    <s v="已完工"/>
    <s v="无"/>
    <m/>
    <m/>
    <n v="0"/>
    <n v="5"/>
    <n v="1"/>
    <n v="1"/>
    <n v="0"/>
    <n v="0"/>
    <n v="0"/>
    <s v="无"/>
    <n v="1"/>
  </r>
  <r>
    <x v="66"/>
    <x v="0"/>
    <x v="1"/>
    <s v="BJ01"/>
    <d v="2026-08-03T13:20:00"/>
    <d v="2026-08-03T15:39:00"/>
    <d v="2026-08-04T10:00:00"/>
    <d v="2026-08-04T10:59:00"/>
    <d v="2026-08-04T14:00:00"/>
    <d v="2026-08-04T13:09:00"/>
    <s v="已完工"/>
    <s v="上门超时"/>
    <d v="2026-08-04T10:00:00"/>
    <m/>
    <n v="0"/>
    <n v="4"/>
    <n v="0"/>
    <n v="1"/>
    <n v="1"/>
    <n v="0"/>
    <n v="1"/>
    <s v="上门超时"/>
    <n v="1"/>
  </r>
  <r>
    <x v="67"/>
    <x v="0"/>
    <x v="0"/>
    <s v="BJ02"/>
    <d v="2026-08-03T14:25:00"/>
    <d v="2026-08-03T18:02:00"/>
    <d v="2026-08-04T10:00:00"/>
    <d v="2026-08-04T09:50:00"/>
    <d v="2026-08-04T15:00:00"/>
    <d v="2026-08-04T12:18:00"/>
    <s v="已完工"/>
    <s v="无"/>
    <m/>
    <m/>
    <n v="0"/>
    <m/>
    <n v="1"/>
    <n v="1"/>
    <n v="0"/>
    <n v="0"/>
    <n v="0"/>
    <s v="无"/>
    <n v="1"/>
  </r>
  <r>
    <x v="68"/>
    <x v="2"/>
    <x v="2"/>
    <s v="CQ01"/>
    <d v="2026-08-03T14:25:00"/>
    <d v="2026-08-03T18:08:00"/>
    <d v="2026-08-05T15:00:00"/>
    <d v="2026-08-05T14:20:00"/>
    <d v="2026-08-05T18:00:00"/>
    <d v="2026-08-05T15:56:00"/>
    <s v="已完工"/>
    <s v="无"/>
    <m/>
    <m/>
    <n v="0"/>
    <m/>
    <n v="1"/>
    <n v="1"/>
    <n v="0"/>
    <n v="0"/>
    <n v="0"/>
    <s v="无"/>
    <n v="1"/>
  </r>
  <r>
    <x v="69"/>
    <x v="2"/>
    <x v="0"/>
    <s v="CQ02"/>
    <d v="2026-08-03T14:50:00"/>
    <d v="2026-08-03T17:47:00"/>
    <d v="2026-08-04T12:00:00"/>
    <d v="2026-08-04T11:30:00"/>
    <d v="2026-08-04T17:00:00"/>
    <d v="2026-08-04T13:37:00"/>
    <s v="已完工"/>
    <s v="无"/>
    <m/>
    <m/>
    <n v="0"/>
    <n v="5"/>
    <n v="1"/>
    <n v="1"/>
    <n v="0"/>
    <n v="0"/>
    <n v="0"/>
    <s v="无"/>
    <n v="1"/>
  </r>
  <r>
    <x v="70"/>
    <x v="0"/>
    <x v="0"/>
    <s v="BJ02"/>
    <d v="2026-08-03T15:05:00"/>
    <d v="2026-08-06T11:55:00"/>
    <d v="2026-08-06T10:00:00"/>
    <d v="2026-08-06T13:12:00"/>
    <d v="2026-08-06T15:00:00"/>
    <d v="2026-08-06T15:35:00"/>
    <s v="已完工"/>
    <s v="派单超时"/>
    <d v="2026-08-06T10:00:00"/>
    <d v="2026-08-06T18:13:00"/>
    <n v="0"/>
    <n v="2"/>
    <n v="0"/>
    <n v="0"/>
    <n v="1"/>
    <n v="1"/>
    <n v="0"/>
    <s v="派单超时"/>
    <n v="1"/>
  </r>
  <r>
    <x v="71"/>
    <x v="0"/>
    <x v="2"/>
    <s v="BJ02"/>
    <d v="2026-08-03T15:10:00"/>
    <d v="2026-08-03T18:02:00"/>
    <d v="2026-08-04T10:00:00"/>
    <d v="2026-08-04T09:46:00"/>
    <d v="2026-08-04T13:00:00"/>
    <d v="2026-08-04T10:42:00"/>
    <s v="已完工"/>
    <s v="无"/>
    <m/>
    <m/>
    <n v="0"/>
    <m/>
    <n v="1"/>
    <n v="1"/>
    <n v="0"/>
    <n v="0"/>
    <n v="0"/>
    <s v="无"/>
    <n v="1"/>
  </r>
  <r>
    <x v="72"/>
    <x v="2"/>
    <x v="0"/>
    <s v="CQ01"/>
    <d v="2026-08-03T15:10:00"/>
    <d v="2026-08-03T16:10:00"/>
    <d v="2026-08-04T15:00:00"/>
    <d v="2026-08-04T14:23:00"/>
    <d v="2026-08-04T20:00:00"/>
    <d v="2026-08-04T15:46:00"/>
    <s v="已完工"/>
    <s v="无"/>
    <m/>
    <m/>
    <n v="0"/>
    <n v="4"/>
    <n v="1"/>
    <n v="1"/>
    <n v="0"/>
    <n v="0"/>
    <n v="0"/>
    <s v="无"/>
    <n v="1"/>
  </r>
  <r>
    <x v="73"/>
    <x v="0"/>
    <x v="1"/>
    <s v="BJ02"/>
    <d v="2026-08-03T15:15:00"/>
    <d v="2026-08-03T17:57:00"/>
    <d v="2026-08-04T15:00:00"/>
    <d v="2026-08-04T14:40:00"/>
    <d v="2026-08-04T19:00:00"/>
    <m/>
    <s v="未完工"/>
    <s v="完工超时"/>
    <d v="2026-08-04T19:00:00"/>
    <m/>
    <n v="0"/>
    <m/>
    <n v="1"/>
    <n v="0"/>
    <n v="1"/>
    <n v="0"/>
    <n v="1"/>
    <s v="完工超时"/>
    <n v="1"/>
  </r>
  <r>
    <x v="74"/>
    <x v="2"/>
    <x v="1"/>
    <s v="CQ02"/>
    <d v="2026-08-03T15:20:00"/>
    <d v="2026-08-03T18:47:00"/>
    <d v="2026-08-05T17:00:00"/>
    <d v="2026-08-05T16:29:00"/>
    <d v="2026-08-05T21:00:00"/>
    <d v="2026-08-05T18:58:00"/>
    <s v="已完工"/>
    <s v="无"/>
    <m/>
    <m/>
    <n v="1"/>
    <n v="3"/>
    <n v="1"/>
    <n v="1"/>
    <n v="0"/>
    <n v="0"/>
    <n v="0"/>
    <s v="无"/>
    <n v="1"/>
  </r>
  <r>
    <x v="75"/>
    <x v="2"/>
    <x v="2"/>
    <s v="CQ01"/>
    <d v="2026-08-03T16:50:00"/>
    <d v="2026-08-03T18:13:00"/>
    <d v="2026-08-05T12:00:00"/>
    <d v="2026-08-05T10:58:00"/>
    <d v="2026-08-05T15:00:00"/>
    <d v="2026-08-05T12:04:00"/>
    <s v="已完工"/>
    <s v="无"/>
    <m/>
    <m/>
    <n v="0"/>
    <n v="4"/>
    <n v="1"/>
    <n v="1"/>
    <n v="0"/>
    <n v="0"/>
    <n v="0"/>
    <s v="无"/>
    <n v="1"/>
  </r>
  <r>
    <x v="76"/>
    <x v="2"/>
    <x v="0"/>
    <s v="CQ01"/>
    <d v="2026-08-03T17:20:00"/>
    <d v="2026-08-03T17:54:00"/>
    <d v="2026-08-05T15:00:00"/>
    <d v="2026-08-05T14:48:00"/>
    <d v="2026-08-05T20:00:00"/>
    <d v="2026-08-05T16:01:00"/>
    <s v="已完工"/>
    <s v="无"/>
    <m/>
    <m/>
    <n v="1"/>
    <n v="2"/>
    <n v="1"/>
    <n v="1"/>
    <n v="0"/>
    <n v="0"/>
    <n v="0"/>
    <s v="无"/>
    <n v="1"/>
  </r>
  <r>
    <x v="77"/>
    <x v="2"/>
    <x v="2"/>
    <s v="CQ01"/>
    <d v="2026-08-03T17:55:00"/>
    <d v="2026-08-03T21:29:00"/>
    <d v="2026-08-05T15:00:00"/>
    <d v="2026-08-05T15:28:00"/>
    <d v="2026-08-05T18:00:00"/>
    <d v="2026-08-05T17:48:00"/>
    <s v="已完工"/>
    <s v="上门超时"/>
    <d v="2026-08-05T15:00:00"/>
    <d v="2026-08-05T19:22:00"/>
    <n v="0"/>
    <n v="4"/>
    <n v="0"/>
    <n v="1"/>
    <n v="1"/>
    <n v="1"/>
    <n v="0"/>
    <s v="上门超时"/>
    <n v="1"/>
  </r>
  <r>
    <x v="78"/>
    <x v="0"/>
    <x v="1"/>
    <s v="BJ01"/>
    <d v="2026-08-03T18:10:00"/>
    <d v="2026-08-03T19:27:00"/>
    <d v="2026-08-04T10:00:00"/>
    <d v="2026-08-04T09:12:00"/>
    <d v="2026-08-04T14:00:00"/>
    <d v="2026-08-04T10:26:00"/>
    <s v="已完工"/>
    <s v="无"/>
    <m/>
    <m/>
    <n v="0"/>
    <m/>
    <n v="1"/>
    <n v="1"/>
    <n v="0"/>
    <n v="0"/>
    <n v="0"/>
    <s v="无"/>
    <n v="1"/>
  </r>
  <r>
    <x v="79"/>
    <x v="0"/>
    <x v="0"/>
    <s v="BJ01"/>
    <d v="2026-08-03T18:20:00"/>
    <d v="2026-08-03T20:06:00"/>
    <d v="2026-08-05T10:00:00"/>
    <d v="2026-08-05T11:20:00"/>
    <d v="2026-08-05T15:00:00"/>
    <d v="2026-08-05T12:35:00"/>
    <s v="已完工"/>
    <s v="上门超时"/>
    <d v="2026-08-05T10:00:00"/>
    <d v="2026-08-05T13:21:00"/>
    <n v="0"/>
    <n v="4"/>
    <n v="0"/>
    <n v="1"/>
    <n v="1"/>
    <n v="1"/>
    <n v="0"/>
    <s v="上门超时"/>
    <n v="1"/>
  </r>
  <r>
    <x v="80"/>
    <x v="0"/>
    <x v="0"/>
    <s v="BJ01"/>
    <d v="2026-08-04T08:00:00"/>
    <d v="2026-08-04T09:37:00"/>
    <d v="2026-08-05T15:00:00"/>
    <d v="2026-08-05T14:22:00"/>
    <d v="2026-08-05T20:00:00"/>
    <d v="2026-08-05T15:34:00"/>
    <s v="已完工"/>
    <s v="无"/>
    <m/>
    <m/>
    <n v="0"/>
    <m/>
    <n v="1"/>
    <n v="1"/>
    <n v="0"/>
    <n v="0"/>
    <n v="0"/>
    <s v="无"/>
    <n v="1"/>
  </r>
  <r>
    <x v="81"/>
    <x v="1"/>
    <x v="0"/>
    <s v="WH01"/>
    <d v="2026-08-04T08:10:00"/>
    <d v="2026-08-04T10:37:00"/>
    <d v="2026-08-07T15:00:00"/>
    <d v="2026-08-07T13:59:00"/>
    <d v="2026-08-07T20:00:00"/>
    <d v="2026-08-07T15:26:00"/>
    <s v="已完工"/>
    <s v="无"/>
    <m/>
    <m/>
    <n v="0"/>
    <n v="4"/>
    <n v="1"/>
    <n v="1"/>
    <n v="0"/>
    <n v="0"/>
    <n v="0"/>
    <s v="无"/>
    <n v="1"/>
  </r>
  <r>
    <x v="82"/>
    <x v="1"/>
    <x v="0"/>
    <s v="WH02"/>
    <d v="2026-08-04T09:15:00"/>
    <d v="2026-08-04T10:30:00"/>
    <d v="2026-08-05T10:00:00"/>
    <d v="2026-08-05T10:38:00"/>
    <d v="2026-08-05T15:00:00"/>
    <d v="2026-08-05T11:47:00"/>
    <s v="已完工"/>
    <s v="上门超时"/>
    <d v="2026-08-05T10:00:00"/>
    <d v="2026-08-05T14:52:00"/>
    <n v="1"/>
    <n v="3"/>
    <n v="0"/>
    <n v="1"/>
    <n v="1"/>
    <n v="1"/>
    <n v="0"/>
    <s v="上门超时"/>
    <n v="1"/>
  </r>
  <r>
    <x v="83"/>
    <x v="1"/>
    <x v="0"/>
    <s v="WH02"/>
    <d v="2026-08-04T09:30:00"/>
    <d v="2026-08-04T11:01:00"/>
    <d v="2026-08-05T15:00:00"/>
    <d v="2026-08-05T13:45:00"/>
    <d v="2026-08-05T20:00:00"/>
    <d v="2026-08-05T16:11:00"/>
    <s v="已完工"/>
    <s v="无"/>
    <m/>
    <m/>
    <n v="0"/>
    <n v="4"/>
    <n v="1"/>
    <n v="1"/>
    <n v="0"/>
    <n v="0"/>
    <n v="0"/>
    <s v="无"/>
    <n v="1"/>
  </r>
  <r>
    <x v="84"/>
    <x v="0"/>
    <x v="1"/>
    <s v="BJ02"/>
    <d v="2026-08-04T09:45:00"/>
    <d v="2026-08-04T10:28:00"/>
    <d v="2026-08-05T17:00:00"/>
    <d v="2026-08-05T16:33:00"/>
    <d v="2026-08-05T21:00:00"/>
    <d v="2026-08-05T17:55:00"/>
    <s v="已完工"/>
    <s v="无"/>
    <m/>
    <m/>
    <n v="0"/>
    <n v="3"/>
    <n v="1"/>
    <n v="1"/>
    <n v="0"/>
    <n v="0"/>
    <n v="0"/>
    <s v="无"/>
    <n v="1"/>
  </r>
  <r>
    <x v="85"/>
    <x v="2"/>
    <x v="0"/>
    <s v="CQ01"/>
    <d v="2026-08-04T09:50:00"/>
    <d v="2026-08-04T13:12:00"/>
    <d v="2026-08-05T15:00:00"/>
    <d v="2026-08-05T14:42:00"/>
    <d v="2026-08-05T20:00:00"/>
    <d v="2026-08-05T16:45:00"/>
    <s v="已完工"/>
    <s v="无"/>
    <m/>
    <m/>
    <n v="0"/>
    <m/>
    <n v="1"/>
    <n v="1"/>
    <n v="0"/>
    <n v="0"/>
    <n v="0"/>
    <s v="无"/>
    <n v="1"/>
  </r>
  <r>
    <x v="86"/>
    <x v="0"/>
    <x v="1"/>
    <s v="BJ01"/>
    <d v="2026-08-04T10:50:00"/>
    <d v="2026-08-04T14:18:00"/>
    <d v="2026-08-05T17:00:00"/>
    <d v="2026-08-05T16:12:00"/>
    <d v="2026-08-05T21:00:00"/>
    <d v="2026-08-05T18:15:00"/>
    <s v="已完工"/>
    <s v="无"/>
    <m/>
    <m/>
    <n v="0"/>
    <n v="4"/>
    <n v="1"/>
    <n v="1"/>
    <n v="0"/>
    <n v="0"/>
    <n v="0"/>
    <s v="无"/>
    <n v="1"/>
  </r>
  <r>
    <x v="87"/>
    <x v="2"/>
    <x v="1"/>
    <s v="CQ01"/>
    <d v="2026-08-04T10:55:00"/>
    <d v="2026-08-04T13:55:00"/>
    <d v="2026-08-05T12:00:00"/>
    <d v="2026-08-05T10:46:00"/>
    <d v="2026-08-05T16:00:00"/>
    <d v="2026-08-05T11:39:00"/>
    <s v="已完工"/>
    <s v="无"/>
    <m/>
    <m/>
    <n v="0"/>
    <n v="4"/>
    <n v="1"/>
    <n v="1"/>
    <n v="0"/>
    <n v="0"/>
    <n v="0"/>
    <s v="无"/>
    <n v="1"/>
  </r>
  <r>
    <x v="88"/>
    <x v="0"/>
    <x v="1"/>
    <s v="BJ02"/>
    <d v="2026-08-04T11:05:00"/>
    <d v="2026-08-04T12:54:00"/>
    <d v="2026-08-06T17:00:00"/>
    <d v="2026-08-06T16:35:00"/>
    <d v="2026-08-06T21:00:00"/>
    <d v="2026-08-06T18:05:00"/>
    <s v="已完工"/>
    <s v="无"/>
    <m/>
    <m/>
    <n v="0"/>
    <n v="5"/>
    <n v="1"/>
    <n v="1"/>
    <n v="0"/>
    <n v="0"/>
    <n v="0"/>
    <s v="无"/>
    <n v="1"/>
  </r>
  <r>
    <x v="89"/>
    <x v="0"/>
    <x v="1"/>
    <s v="BJ02"/>
    <d v="2026-08-04T11:30:00"/>
    <d v="2026-08-04T13:16:00"/>
    <d v="2026-08-05T12:00:00"/>
    <d v="2026-08-05T11:18:00"/>
    <d v="2026-08-05T16:00:00"/>
    <d v="2026-08-05T13:24:00"/>
    <s v="已完工"/>
    <s v="无"/>
    <m/>
    <m/>
    <n v="0"/>
    <n v="5"/>
    <n v="1"/>
    <n v="1"/>
    <n v="0"/>
    <n v="0"/>
    <n v="0"/>
    <s v="无"/>
    <n v="1"/>
  </r>
  <r>
    <x v="90"/>
    <x v="2"/>
    <x v="0"/>
    <s v="CQ01"/>
    <d v="2026-08-04T11:45:00"/>
    <d v="2026-08-04T13:28:00"/>
    <d v="2026-08-07T17:00:00"/>
    <d v="2026-08-07T16:23:00"/>
    <d v="2026-08-07T22:00:00"/>
    <d v="2026-08-07T17:34:00"/>
    <s v="已完工"/>
    <s v="无"/>
    <m/>
    <m/>
    <n v="0"/>
    <n v="5"/>
    <n v="1"/>
    <n v="1"/>
    <n v="0"/>
    <n v="0"/>
    <n v="0"/>
    <s v="无"/>
    <n v="1"/>
  </r>
  <r>
    <x v="91"/>
    <x v="1"/>
    <x v="0"/>
    <s v="WH02"/>
    <d v="2026-08-04T11:50:00"/>
    <d v="2026-08-04T12:35:00"/>
    <d v="2026-08-05T10:00:00"/>
    <d v="2026-08-05T10:38:00"/>
    <d v="2026-08-05T15:00:00"/>
    <d v="2026-08-05T12:03:00"/>
    <s v="已完工"/>
    <s v="上门超时"/>
    <d v="2026-08-05T10:00:00"/>
    <m/>
    <n v="0"/>
    <m/>
    <n v="0"/>
    <n v="1"/>
    <n v="1"/>
    <n v="0"/>
    <n v="1"/>
    <s v="上门超时"/>
    <n v="1"/>
  </r>
  <r>
    <x v="92"/>
    <x v="1"/>
    <x v="0"/>
    <s v="WH02"/>
    <d v="2026-08-04T12:10:00"/>
    <d v="2026-08-06T16:09:00"/>
    <d v="2026-08-06T15:00:00"/>
    <d v="2026-08-06T17:05:00"/>
    <d v="2026-08-06T20:00:00"/>
    <d v="2026-08-06T18:34:00"/>
    <s v="已完工"/>
    <s v="派单超时"/>
    <d v="2026-08-06T15:00:00"/>
    <m/>
    <n v="0"/>
    <n v="3"/>
    <n v="0"/>
    <n v="1"/>
    <n v="1"/>
    <n v="0"/>
    <n v="1"/>
    <s v="派单超时"/>
    <n v="1"/>
  </r>
  <r>
    <x v="93"/>
    <x v="1"/>
    <x v="0"/>
    <s v="WH02"/>
    <d v="2026-08-04T12:15:00"/>
    <d v="2026-08-04T15:48:00"/>
    <d v="2026-08-05T10:00:00"/>
    <d v="2026-08-05T09:14:00"/>
    <d v="2026-08-05T15:00:00"/>
    <d v="2026-08-05T10:17:00"/>
    <s v="已完工"/>
    <s v="无"/>
    <m/>
    <m/>
    <n v="0"/>
    <m/>
    <n v="1"/>
    <n v="1"/>
    <n v="0"/>
    <n v="0"/>
    <n v="0"/>
    <s v="无"/>
    <n v="1"/>
  </r>
  <r>
    <x v="94"/>
    <x v="1"/>
    <x v="1"/>
    <s v="WH01"/>
    <d v="2026-08-04T12:20:00"/>
    <d v="2026-08-04T14:23:00"/>
    <d v="2026-08-05T17:00:00"/>
    <d v="2026-08-05T15:46:00"/>
    <d v="2026-08-05T21:00:00"/>
    <d v="2026-08-05T17:55:00"/>
    <s v="已完工"/>
    <s v="无"/>
    <m/>
    <m/>
    <n v="0"/>
    <n v="4"/>
    <n v="1"/>
    <n v="1"/>
    <n v="0"/>
    <n v="0"/>
    <n v="0"/>
    <s v="无"/>
    <n v="1"/>
  </r>
  <r>
    <x v="95"/>
    <x v="0"/>
    <x v="1"/>
    <s v="BJ02"/>
    <d v="2026-08-04T12:35:00"/>
    <d v="2026-08-04T14:30:00"/>
    <d v="2026-08-06T15:00:00"/>
    <d v="2026-08-06T13:58:00"/>
    <d v="2026-08-06T19:00:00"/>
    <d v="2026-08-06T16:11:00"/>
    <s v="已完工"/>
    <s v="无"/>
    <m/>
    <m/>
    <n v="0"/>
    <n v="5"/>
    <n v="1"/>
    <n v="1"/>
    <n v="0"/>
    <n v="0"/>
    <n v="0"/>
    <s v="无"/>
    <n v="1"/>
  </r>
  <r>
    <x v="96"/>
    <x v="0"/>
    <x v="0"/>
    <s v="BJ02"/>
    <d v="2026-08-04T12:45:00"/>
    <d v="2026-08-04T14:30:00"/>
    <d v="2026-08-06T10:00:00"/>
    <d v="2026-08-06T08:57:00"/>
    <d v="2026-08-06T15:00:00"/>
    <d v="2026-08-06T10:21:00"/>
    <s v="已完工"/>
    <s v="无"/>
    <m/>
    <m/>
    <n v="0"/>
    <n v="5"/>
    <n v="1"/>
    <n v="1"/>
    <n v="0"/>
    <n v="0"/>
    <n v="0"/>
    <s v="无"/>
    <n v="1"/>
  </r>
  <r>
    <x v="97"/>
    <x v="1"/>
    <x v="1"/>
    <s v="WH01"/>
    <d v="2026-08-04T12:45:00"/>
    <d v="2026-08-04T15:48:00"/>
    <d v="2026-08-05T17:00:00"/>
    <d v="2026-08-05T16:46:00"/>
    <d v="2026-08-05T21:00:00"/>
    <d v="2026-08-05T19:08:00"/>
    <s v="已完工"/>
    <s v="无"/>
    <m/>
    <m/>
    <n v="0"/>
    <n v="5"/>
    <n v="1"/>
    <n v="1"/>
    <n v="0"/>
    <n v="0"/>
    <n v="0"/>
    <s v="无"/>
    <n v="1"/>
  </r>
  <r>
    <x v="98"/>
    <x v="2"/>
    <x v="1"/>
    <s v="CQ02"/>
    <d v="2026-08-04T12:50:00"/>
    <d v="2026-08-04T16:18:00"/>
    <d v="2026-08-06T10:00:00"/>
    <d v="2026-08-06T09:47:00"/>
    <d v="2026-08-06T14:00:00"/>
    <d v="2026-08-06T11:38:00"/>
    <s v="已完工"/>
    <s v="无"/>
    <m/>
    <m/>
    <n v="0"/>
    <n v="5"/>
    <n v="1"/>
    <n v="1"/>
    <n v="0"/>
    <n v="0"/>
    <n v="0"/>
    <s v="无"/>
    <n v="1"/>
  </r>
  <r>
    <x v="99"/>
    <x v="2"/>
    <x v="1"/>
    <s v="CQ02"/>
    <d v="2026-08-04T13:40:00"/>
    <d v="2026-08-04T16:26:00"/>
    <d v="2026-08-05T15:00:00"/>
    <d v="2026-08-05T14:03:00"/>
    <d v="2026-08-05T19:00:00"/>
    <d v="2026-08-05T15:37:00"/>
    <s v="已完工"/>
    <s v="无"/>
    <m/>
    <m/>
    <n v="0"/>
    <n v="4"/>
    <n v="1"/>
    <n v="1"/>
    <n v="0"/>
    <n v="0"/>
    <n v="0"/>
    <s v="无"/>
    <n v="1"/>
  </r>
  <r>
    <x v="100"/>
    <x v="2"/>
    <x v="0"/>
    <s v="CQ02"/>
    <d v="2026-08-04T15:35:00"/>
    <d v="2026-08-04T16:08:00"/>
    <d v="2026-08-06T12:00:00"/>
    <d v="2026-08-06T11:12:00"/>
    <d v="2026-08-06T17:00:00"/>
    <d v="2026-08-06T13:29:00"/>
    <s v="已完工"/>
    <s v="无"/>
    <m/>
    <m/>
    <n v="0"/>
    <m/>
    <n v="1"/>
    <n v="1"/>
    <n v="0"/>
    <n v="0"/>
    <n v="0"/>
    <s v="无"/>
    <n v="1"/>
  </r>
  <r>
    <x v="101"/>
    <x v="1"/>
    <x v="1"/>
    <s v="WH01"/>
    <d v="2026-08-04T17:00:00"/>
    <d v="2026-08-04T17:38:00"/>
    <d v="2026-08-06T15:00:00"/>
    <d v="2026-08-06T13:51:00"/>
    <d v="2026-08-06T19:00:00"/>
    <d v="2026-08-06T15:39:00"/>
    <s v="已完工"/>
    <s v="无"/>
    <m/>
    <m/>
    <n v="0"/>
    <n v="5"/>
    <n v="1"/>
    <n v="1"/>
    <n v="0"/>
    <n v="0"/>
    <n v="0"/>
    <s v="无"/>
    <n v="1"/>
  </r>
  <r>
    <x v="102"/>
    <x v="2"/>
    <x v="1"/>
    <s v="CQ01"/>
    <d v="2026-08-04T17:20:00"/>
    <m/>
    <d v="2026-08-07T10:00:00"/>
    <m/>
    <d v="2026-08-07T14:00:00"/>
    <m/>
    <s v="未完工"/>
    <s v="派单超时"/>
    <d v="2026-08-07T10:00:00"/>
    <m/>
    <n v="1"/>
    <m/>
    <n v="0"/>
    <n v="0"/>
    <n v="1"/>
    <n v="0"/>
    <n v="1"/>
    <s v="派单超时"/>
    <n v="1"/>
  </r>
  <r>
    <x v="103"/>
    <x v="0"/>
    <x v="0"/>
    <s v="BJ02"/>
    <d v="2026-08-04T18:10:00"/>
    <d v="2026-08-04T20:05:00"/>
    <d v="2026-08-05T15:00:00"/>
    <d v="2026-08-05T13:57:00"/>
    <d v="2026-08-05T20:00:00"/>
    <d v="2026-08-05T21:13:00"/>
    <s v="已完工"/>
    <s v="完工超时"/>
    <d v="2026-08-05T20:00:00"/>
    <d v="2026-08-06T00:33:00"/>
    <n v="0"/>
    <n v="4"/>
    <n v="1"/>
    <n v="0"/>
    <n v="1"/>
    <n v="1"/>
    <n v="0"/>
    <s v="完工超时"/>
    <n v="1"/>
  </r>
  <r>
    <x v="104"/>
    <x v="2"/>
    <x v="2"/>
    <s v="CQ02"/>
    <d v="2026-08-05T08:20:00"/>
    <d v="2026-08-05T09:27:00"/>
    <d v="2026-08-07T17:00:00"/>
    <d v="2026-08-07T16:22:00"/>
    <d v="2026-08-07T20:00:00"/>
    <d v="2026-08-07T18:13:00"/>
    <s v="已完工"/>
    <s v="无"/>
    <m/>
    <m/>
    <n v="0"/>
    <n v="3"/>
    <n v="1"/>
    <n v="1"/>
    <n v="0"/>
    <n v="0"/>
    <n v="0"/>
    <s v="无"/>
    <n v="1"/>
  </r>
  <r>
    <x v="105"/>
    <x v="0"/>
    <x v="1"/>
    <s v="BJ02"/>
    <d v="2026-08-05T09:20:00"/>
    <d v="2026-08-05T12:13:00"/>
    <d v="2026-08-06T12:00:00"/>
    <d v="2026-08-06T13:01:00"/>
    <d v="2026-08-06T16:00:00"/>
    <d v="2026-08-06T14:07:00"/>
    <s v="已完工"/>
    <s v="上门超时"/>
    <d v="2026-08-06T12:00:00"/>
    <d v="2026-08-06T14:38:00"/>
    <n v="0"/>
    <n v="2"/>
    <n v="0"/>
    <n v="1"/>
    <n v="1"/>
    <n v="1"/>
    <n v="0"/>
    <s v="上门超时"/>
    <n v="1"/>
  </r>
  <r>
    <x v="106"/>
    <x v="1"/>
    <x v="0"/>
    <s v="WH01"/>
    <d v="2026-08-05T09:30:00"/>
    <d v="2026-08-05T10:24:00"/>
    <d v="2026-08-07T12:00:00"/>
    <d v="2026-08-07T11:23:00"/>
    <d v="2026-08-07T17:00:00"/>
    <d v="2026-08-07T12:39:00"/>
    <s v="已完工"/>
    <s v="无"/>
    <m/>
    <m/>
    <n v="0"/>
    <n v="4"/>
    <n v="1"/>
    <n v="1"/>
    <n v="0"/>
    <n v="0"/>
    <n v="0"/>
    <s v="无"/>
    <n v="1"/>
  </r>
  <r>
    <x v="107"/>
    <x v="0"/>
    <x v="1"/>
    <s v="BJ01"/>
    <d v="2026-08-05T09:50:00"/>
    <d v="2026-08-05T11:26:00"/>
    <d v="2026-08-06T10:00:00"/>
    <d v="2026-08-06T09:29:00"/>
    <d v="2026-08-06T14:00:00"/>
    <d v="2026-08-06T10:54:00"/>
    <s v="已完工"/>
    <s v="无"/>
    <m/>
    <m/>
    <n v="0"/>
    <n v="5"/>
    <n v="1"/>
    <n v="1"/>
    <n v="0"/>
    <n v="0"/>
    <n v="0"/>
    <s v="无"/>
    <n v="1"/>
  </r>
  <r>
    <x v="108"/>
    <x v="1"/>
    <x v="1"/>
    <s v="WH01"/>
    <d v="2026-08-05T10:00:00"/>
    <d v="2026-08-05T11:35:00"/>
    <d v="2026-08-06T10:00:00"/>
    <d v="2026-08-06T11:20:00"/>
    <d v="2026-08-06T14:00:00"/>
    <d v="2026-08-06T12:37:00"/>
    <s v="已完工"/>
    <s v="上门超时"/>
    <d v="2026-08-06T10:00:00"/>
    <m/>
    <n v="0"/>
    <m/>
    <n v="0"/>
    <n v="1"/>
    <n v="1"/>
    <n v="0"/>
    <n v="1"/>
    <s v="上门超时"/>
    <n v="1"/>
  </r>
  <r>
    <x v="109"/>
    <x v="1"/>
    <x v="1"/>
    <s v="WH01"/>
    <d v="2026-08-05T10:45:00"/>
    <d v="2026-08-05T14:43:00"/>
    <d v="2026-08-08T12:00:00"/>
    <d v="2026-08-08T11:11:00"/>
    <d v="2026-08-08T16:00:00"/>
    <d v="2026-08-08T12:58:00"/>
    <s v="已完工"/>
    <s v="无"/>
    <m/>
    <m/>
    <n v="0"/>
    <m/>
    <n v="1"/>
    <n v="1"/>
    <n v="0"/>
    <n v="0"/>
    <n v="0"/>
    <s v="无"/>
    <n v="1"/>
  </r>
  <r>
    <x v="110"/>
    <x v="0"/>
    <x v="1"/>
    <s v="BJ02"/>
    <d v="2026-08-05T11:40:00"/>
    <d v="2026-08-05T12:24:00"/>
    <d v="2026-08-07T10:00:00"/>
    <d v="2026-08-07T08:47:00"/>
    <d v="2026-08-07T14:00:00"/>
    <d v="2026-08-07T10:38:00"/>
    <s v="已完工"/>
    <s v="无"/>
    <m/>
    <m/>
    <n v="0"/>
    <n v="5"/>
    <n v="1"/>
    <n v="1"/>
    <n v="0"/>
    <n v="0"/>
    <n v="0"/>
    <s v="无"/>
    <n v="1"/>
  </r>
  <r>
    <x v="111"/>
    <x v="0"/>
    <x v="0"/>
    <s v="BJ01"/>
    <d v="2026-08-05T12:10:00"/>
    <d v="2026-08-05T15:12:00"/>
    <d v="2026-08-06T10:00:00"/>
    <d v="2026-08-06T09:19:00"/>
    <d v="2026-08-06T15:00:00"/>
    <d v="2026-08-06T11:19:00"/>
    <s v="已完工"/>
    <s v="无"/>
    <m/>
    <m/>
    <n v="0"/>
    <n v="4"/>
    <n v="1"/>
    <n v="1"/>
    <n v="0"/>
    <n v="0"/>
    <n v="0"/>
    <s v="无"/>
    <n v="1"/>
  </r>
  <r>
    <x v="112"/>
    <x v="2"/>
    <x v="0"/>
    <s v="CQ01"/>
    <d v="2026-08-05T12:50:00"/>
    <m/>
    <d v="2026-08-06T10:00:00"/>
    <m/>
    <d v="2026-08-06T15:00:00"/>
    <m/>
    <s v="未完工"/>
    <s v="派单超时"/>
    <d v="2026-08-06T10:00:00"/>
    <m/>
    <n v="0"/>
    <m/>
    <n v="0"/>
    <n v="0"/>
    <n v="1"/>
    <n v="0"/>
    <n v="1"/>
    <s v="派单超时"/>
    <n v="1"/>
  </r>
  <r>
    <x v="113"/>
    <x v="1"/>
    <x v="1"/>
    <s v="WH02"/>
    <d v="2026-08-05T13:05:00"/>
    <d v="2026-08-05T17:00:00"/>
    <d v="2026-08-06T17:00:00"/>
    <d v="2026-08-06T18:19:00"/>
    <d v="2026-08-06T21:00:00"/>
    <d v="2026-08-06T19:25:00"/>
    <s v="已完工"/>
    <s v="上门超时"/>
    <d v="2026-08-06T17:00:00"/>
    <m/>
    <n v="0"/>
    <n v="3"/>
    <n v="0"/>
    <n v="1"/>
    <n v="1"/>
    <n v="0"/>
    <n v="1"/>
    <s v="上门超时"/>
    <n v="1"/>
  </r>
  <r>
    <x v="114"/>
    <x v="1"/>
    <x v="1"/>
    <s v="WH01"/>
    <d v="2026-08-05T13:50:00"/>
    <d v="2026-08-05T15:08:00"/>
    <d v="2026-08-06T15:00:00"/>
    <d v="2026-08-06T14:28:00"/>
    <d v="2026-08-06T19:00:00"/>
    <d v="2026-08-06T16:52:00"/>
    <s v="已完工"/>
    <s v="无"/>
    <m/>
    <m/>
    <n v="0"/>
    <n v="5"/>
    <n v="1"/>
    <n v="1"/>
    <n v="0"/>
    <n v="0"/>
    <n v="0"/>
    <s v="无"/>
    <n v="1"/>
  </r>
  <r>
    <x v="115"/>
    <x v="1"/>
    <x v="1"/>
    <s v="WH02"/>
    <d v="2026-08-05T14:00:00"/>
    <d v="2026-08-05T15:18:00"/>
    <d v="2026-08-08T12:00:00"/>
    <d v="2026-08-08T12:29:00"/>
    <d v="2026-08-08T16:00:00"/>
    <d v="2026-08-08T14:47:00"/>
    <s v="已完工"/>
    <s v="上门超时"/>
    <d v="2026-08-08T12:00:00"/>
    <d v="2026-08-08T17:41:00"/>
    <n v="0"/>
    <n v="3"/>
    <n v="0"/>
    <n v="1"/>
    <n v="1"/>
    <n v="1"/>
    <n v="0"/>
    <s v="上门超时"/>
    <n v="1"/>
  </r>
  <r>
    <x v="116"/>
    <x v="2"/>
    <x v="2"/>
    <s v="CQ01"/>
    <d v="2026-08-05T14:05:00"/>
    <d v="2026-08-05T17:04:00"/>
    <d v="2026-08-06T12:00:00"/>
    <d v="2026-08-06T12:54:00"/>
    <d v="2026-08-06T15:00:00"/>
    <d v="2026-08-06T14:58:00"/>
    <s v="已完工"/>
    <s v="上门超时"/>
    <d v="2026-08-06T12:00:00"/>
    <d v="2026-08-06T18:19:00"/>
    <n v="0"/>
    <n v="4"/>
    <n v="0"/>
    <n v="1"/>
    <n v="1"/>
    <n v="1"/>
    <n v="0"/>
    <s v="上门超时"/>
    <n v="1"/>
  </r>
  <r>
    <x v="117"/>
    <x v="1"/>
    <x v="1"/>
    <s v="WH01"/>
    <d v="2026-08-05T14:05:00"/>
    <d v="2026-08-05T15:26:00"/>
    <d v="2026-08-08T17:00:00"/>
    <d v="2026-08-08T15:48:00"/>
    <d v="2026-08-08T21:00:00"/>
    <d v="2026-08-08T17:02:00"/>
    <s v="已完工"/>
    <s v="无"/>
    <m/>
    <m/>
    <n v="0"/>
    <n v="5"/>
    <n v="1"/>
    <n v="1"/>
    <n v="0"/>
    <n v="0"/>
    <n v="0"/>
    <s v="无"/>
    <n v="1"/>
  </r>
  <r>
    <x v="118"/>
    <x v="0"/>
    <x v="1"/>
    <s v="BJ01"/>
    <d v="2026-08-05T14:10:00"/>
    <d v="2026-08-05T17:19:00"/>
    <d v="2026-08-06T17:00:00"/>
    <d v="2026-08-06T16:48:00"/>
    <d v="2026-08-06T21:00:00"/>
    <d v="2026-08-06T23:11:00"/>
    <s v="已完工"/>
    <s v="完工超时"/>
    <d v="2026-08-06T21:00:00"/>
    <m/>
    <n v="0"/>
    <n v="4"/>
    <n v="1"/>
    <n v="0"/>
    <n v="1"/>
    <n v="0"/>
    <n v="1"/>
    <s v="完工超时"/>
    <n v="1"/>
  </r>
  <r>
    <x v="119"/>
    <x v="1"/>
    <x v="1"/>
    <s v="WH01"/>
    <d v="2026-08-05T15:45:00"/>
    <d v="2026-08-05T16:40:00"/>
    <d v="2026-08-08T12:00:00"/>
    <d v="2026-08-08T11:33:00"/>
    <d v="2026-08-08T16:00:00"/>
    <d v="2026-08-08T13:09:00"/>
    <s v="已完工"/>
    <s v="无"/>
    <m/>
    <m/>
    <n v="0"/>
    <m/>
    <n v="1"/>
    <n v="1"/>
    <n v="0"/>
    <n v="0"/>
    <n v="0"/>
    <s v="无"/>
    <n v="1"/>
  </r>
  <r>
    <x v="120"/>
    <x v="0"/>
    <x v="2"/>
    <s v="BJ02"/>
    <d v="2026-08-05T16:00:00"/>
    <d v="2026-08-05T19:43:00"/>
    <d v="2026-08-07T12:00:00"/>
    <d v="2026-08-07T11:45:00"/>
    <d v="2026-08-07T15:00:00"/>
    <d v="2026-08-07T13:14:00"/>
    <s v="已完工"/>
    <s v="无"/>
    <m/>
    <m/>
    <n v="0"/>
    <n v="5"/>
    <n v="1"/>
    <n v="1"/>
    <n v="0"/>
    <n v="0"/>
    <n v="0"/>
    <s v="无"/>
    <n v="1"/>
  </r>
  <r>
    <x v="121"/>
    <x v="1"/>
    <x v="0"/>
    <s v="WH02"/>
    <d v="2026-08-05T16:20:00"/>
    <d v="2026-08-05T18:50:00"/>
    <d v="2026-08-06T10:00:00"/>
    <d v="2026-08-06T09:21:00"/>
    <d v="2026-08-06T15:00:00"/>
    <d v="2026-08-06T11:09:00"/>
    <s v="已完工"/>
    <s v="无"/>
    <m/>
    <m/>
    <n v="0"/>
    <m/>
    <n v="1"/>
    <n v="1"/>
    <n v="0"/>
    <n v="0"/>
    <n v="0"/>
    <s v="无"/>
    <n v="1"/>
  </r>
  <r>
    <x v="122"/>
    <x v="0"/>
    <x v="1"/>
    <s v="BJ02"/>
    <d v="2026-08-05T16:55:00"/>
    <d v="2026-08-05T17:44:00"/>
    <d v="2026-08-06T15:00:00"/>
    <d v="2026-08-06T14:07:00"/>
    <d v="2026-08-06T19:00:00"/>
    <m/>
    <s v="未完工"/>
    <s v="完工超时"/>
    <d v="2026-08-06T19:00:00"/>
    <m/>
    <n v="0"/>
    <m/>
    <n v="1"/>
    <n v="0"/>
    <n v="1"/>
    <n v="0"/>
    <n v="1"/>
    <s v="完工超时"/>
    <n v="1"/>
  </r>
  <r>
    <x v="123"/>
    <x v="0"/>
    <x v="1"/>
    <s v="BJ01"/>
    <d v="2026-08-05T17:10:00"/>
    <d v="2026-08-05T19:04:00"/>
    <d v="2026-08-07T17:00:00"/>
    <d v="2026-08-07T15:54:00"/>
    <d v="2026-08-07T21:00:00"/>
    <d v="2026-08-07T17:39:00"/>
    <s v="已完工"/>
    <s v="无"/>
    <m/>
    <m/>
    <n v="0"/>
    <n v="4"/>
    <n v="1"/>
    <n v="1"/>
    <n v="0"/>
    <n v="0"/>
    <n v="0"/>
    <s v="无"/>
    <n v="1"/>
  </r>
  <r>
    <x v="124"/>
    <x v="1"/>
    <x v="0"/>
    <s v="WH01"/>
    <d v="2026-08-05T17:25:00"/>
    <d v="2026-08-05T20:41:00"/>
    <d v="2026-08-06T15:00:00"/>
    <d v="2026-08-06T14:36:00"/>
    <d v="2026-08-06T20:00:00"/>
    <d v="2026-08-06T16:40:00"/>
    <s v="已完工"/>
    <s v="无"/>
    <m/>
    <m/>
    <n v="0"/>
    <n v="4"/>
    <n v="1"/>
    <n v="1"/>
    <n v="0"/>
    <n v="0"/>
    <n v="0"/>
    <s v="无"/>
    <n v="1"/>
  </r>
  <r>
    <x v="125"/>
    <x v="0"/>
    <x v="0"/>
    <s v="BJ02"/>
    <d v="2026-08-05T17:55:00"/>
    <d v="2026-08-05T20:23:00"/>
    <d v="2026-08-06T10:00:00"/>
    <d v="2026-08-06T09:40:00"/>
    <d v="2026-08-06T15:00:00"/>
    <d v="2026-08-06T11:25:00"/>
    <s v="已完工"/>
    <s v="无"/>
    <m/>
    <m/>
    <n v="0"/>
    <m/>
    <n v="1"/>
    <n v="1"/>
    <n v="0"/>
    <n v="0"/>
    <n v="0"/>
    <s v="无"/>
    <n v="1"/>
  </r>
  <r>
    <x v="126"/>
    <x v="2"/>
    <x v="1"/>
    <s v="CQ01"/>
    <d v="2026-08-05T18:15:00"/>
    <d v="2026-08-05T20:18:00"/>
    <d v="2026-08-07T17:00:00"/>
    <d v="2026-08-07T18:18:00"/>
    <d v="2026-08-07T21:00:00"/>
    <d v="2026-08-07T20:26:00"/>
    <s v="已完工"/>
    <s v="上门超时"/>
    <d v="2026-08-07T17:00:00"/>
    <d v="2026-08-07T23:30:00"/>
    <n v="0"/>
    <n v="4"/>
    <n v="0"/>
    <n v="1"/>
    <n v="1"/>
    <n v="1"/>
    <n v="0"/>
    <s v="上门超时"/>
    <n v="1"/>
  </r>
  <r>
    <x v="127"/>
    <x v="0"/>
    <x v="1"/>
    <s v="BJ01"/>
    <d v="2026-08-05T18:20:00"/>
    <d v="2026-08-05T19:47:00"/>
    <d v="2026-08-06T15:00:00"/>
    <d v="2026-08-06T14:33:00"/>
    <d v="2026-08-06T19:00:00"/>
    <d v="2026-08-06T15:54:00"/>
    <s v="已完工"/>
    <s v="无"/>
    <m/>
    <m/>
    <n v="0"/>
    <m/>
    <n v="1"/>
    <n v="1"/>
    <n v="0"/>
    <n v="0"/>
    <n v="0"/>
    <s v="无"/>
    <n v="1"/>
  </r>
  <r>
    <x v="128"/>
    <x v="2"/>
    <x v="2"/>
    <s v="CQ01"/>
    <d v="2026-08-05T18:20:00"/>
    <d v="2026-08-05T20:55:00"/>
    <d v="2026-08-06T10:00:00"/>
    <d v="2026-08-06T09:35:00"/>
    <d v="2026-08-06T13:00:00"/>
    <d v="2026-08-06T12:01:00"/>
    <s v="已完工"/>
    <s v="无"/>
    <m/>
    <m/>
    <n v="0"/>
    <m/>
    <n v="1"/>
    <n v="1"/>
    <n v="0"/>
    <n v="0"/>
    <n v="0"/>
    <s v="无"/>
    <n v="1"/>
  </r>
  <r>
    <x v="129"/>
    <x v="1"/>
    <x v="1"/>
    <s v="WH02"/>
    <d v="2026-08-05T18:25:00"/>
    <d v="2026-08-05T22:17:00"/>
    <d v="2026-08-06T12:00:00"/>
    <d v="2026-08-06T10:48:00"/>
    <d v="2026-08-06T16:00:00"/>
    <d v="2026-08-06T13:18:00"/>
    <s v="已完工"/>
    <s v="无"/>
    <m/>
    <m/>
    <n v="0"/>
    <n v="4"/>
    <n v="1"/>
    <n v="1"/>
    <n v="0"/>
    <n v="0"/>
    <n v="0"/>
    <s v="无"/>
    <n v="1"/>
  </r>
  <r>
    <x v="130"/>
    <x v="2"/>
    <x v="1"/>
    <s v="CQ01"/>
    <d v="2026-08-05T18:50:00"/>
    <d v="2026-08-05T20:03:00"/>
    <d v="2026-08-06T15:00:00"/>
    <d v="2026-08-06T14:12:00"/>
    <d v="2026-08-06T19:00:00"/>
    <d v="2026-08-06T15:52:00"/>
    <s v="已完工"/>
    <s v="无"/>
    <m/>
    <m/>
    <n v="0"/>
    <n v="4"/>
    <n v="1"/>
    <n v="1"/>
    <n v="0"/>
    <n v="0"/>
    <n v="0"/>
    <s v="无"/>
    <n v="1"/>
  </r>
  <r>
    <x v="131"/>
    <x v="0"/>
    <x v="1"/>
    <s v="BJ01"/>
    <d v="2026-08-05T18:55:00"/>
    <d v="2026-08-05T21:06:00"/>
    <d v="2026-08-06T10:00:00"/>
    <d v="2026-08-06T08:58:00"/>
    <d v="2026-08-06T14:00:00"/>
    <d v="2026-08-06T10:58:00"/>
    <s v="已完工"/>
    <s v="无"/>
    <m/>
    <m/>
    <n v="0"/>
    <n v="5"/>
    <n v="1"/>
    <n v="1"/>
    <n v="0"/>
    <n v="0"/>
    <n v="0"/>
    <s v="无"/>
    <n v="1"/>
  </r>
  <r>
    <x v="132"/>
    <x v="0"/>
    <x v="1"/>
    <s v="BJ02"/>
    <d v="2026-08-05T18:55:00"/>
    <d v="2026-08-05T20:48:00"/>
    <d v="2026-08-07T17:00:00"/>
    <d v="2026-08-07T16:04:00"/>
    <d v="2026-08-07T21:00:00"/>
    <d v="2026-08-07T17:18:00"/>
    <s v="已完工"/>
    <s v="无"/>
    <m/>
    <m/>
    <n v="0"/>
    <n v="5"/>
    <n v="1"/>
    <n v="1"/>
    <n v="0"/>
    <n v="0"/>
    <n v="0"/>
    <s v="无"/>
    <n v="1"/>
  </r>
  <r>
    <x v="133"/>
    <x v="0"/>
    <x v="1"/>
    <s v="BJ01"/>
    <d v="2026-08-06T08:20:00"/>
    <d v="2026-08-06T12:09:00"/>
    <d v="2026-08-07T17:00:00"/>
    <d v="2026-08-07T18:46:00"/>
    <d v="2026-08-07T21:00:00"/>
    <d v="2026-08-07T21:01:00"/>
    <s v="已完工"/>
    <s v="上门超时"/>
    <d v="2026-08-07T17:00:00"/>
    <d v="2026-08-07T23:16:00"/>
    <n v="0"/>
    <n v="3"/>
    <n v="0"/>
    <n v="0"/>
    <n v="1"/>
    <n v="1"/>
    <n v="0"/>
    <s v="上门超时"/>
    <n v="1"/>
  </r>
  <r>
    <x v="134"/>
    <x v="0"/>
    <x v="2"/>
    <s v="BJ02"/>
    <d v="2026-08-06T09:00:00"/>
    <d v="2026-08-06T10:26:00"/>
    <d v="2026-08-08T10:00:00"/>
    <d v="2026-08-08T09:41:00"/>
    <d v="2026-08-08T13:00:00"/>
    <d v="2026-08-08T11:06:00"/>
    <s v="已完工"/>
    <s v="无"/>
    <m/>
    <m/>
    <n v="0"/>
    <n v="4"/>
    <n v="1"/>
    <n v="1"/>
    <n v="0"/>
    <n v="0"/>
    <n v="0"/>
    <s v="无"/>
    <n v="1"/>
  </r>
  <r>
    <x v="135"/>
    <x v="1"/>
    <x v="0"/>
    <s v="WH01"/>
    <d v="2026-08-06T10:45:00"/>
    <d v="2026-08-08T10:22:00"/>
    <d v="2026-08-08T10:00:00"/>
    <d v="2026-08-08T10:47:00"/>
    <d v="2026-08-08T15:00:00"/>
    <d v="2026-08-08T12:40:00"/>
    <s v="已完工"/>
    <s v="派单超时"/>
    <d v="2026-08-08T10:00:00"/>
    <d v="2026-08-08T13:10:00"/>
    <n v="0"/>
    <n v="4"/>
    <n v="0"/>
    <n v="1"/>
    <n v="1"/>
    <n v="1"/>
    <n v="0"/>
    <s v="派单超时"/>
    <n v="1"/>
  </r>
  <r>
    <x v="136"/>
    <x v="2"/>
    <x v="0"/>
    <s v="CQ01"/>
    <d v="2026-08-06T11:25:00"/>
    <d v="2026-08-06T15:03:00"/>
    <d v="2026-08-08T10:00:00"/>
    <d v="2026-08-08T08:47:00"/>
    <d v="2026-08-08T15:00:00"/>
    <d v="2026-08-08T10:48:00"/>
    <s v="已完工"/>
    <s v="无"/>
    <m/>
    <m/>
    <n v="0"/>
    <m/>
    <n v="1"/>
    <n v="1"/>
    <n v="0"/>
    <n v="0"/>
    <n v="0"/>
    <s v="无"/>
    <n v="1"/>
  </r>
  <r>
    <x v="137"/>
    <x v="1"/>
    <x v="0"/>
    <s v="WH02"/>
    <d v="2026-08-06T12:00:00"/>
    <d v="2026-08-06T12:31:00"/>
    <d v="2026-08-07T12:00:00"/>
    <d v="2026-08-07T11:49:00"/>
    <d v="2026-08-07T17:00:00"/>
    <d v="2026-08-07T12:59:00"/>
    <s v="已完工"/>
    <s v="无"/>
    <m/>
    <m/>
    <n v="0"/>
    <n v="5"/>
    <n v="1"/>
    <n v="1"/>
    <n v="0"/>
    <n v="0"/>
    <n v="0"/>
    <s v="无"/>
    <n v="1"/>
  </r>
  <r>
    <x v="138"/>
    <x v="0"/>
    <x v="1"/>
    <s v="BJ01"/>
    <d v="2026-08-06T12:35:00"/>
    <d v="2026-08-06T15:08:00"/>
    <d v="2026-08-07T15:00:00"/>
    <d v="2026-08-07T14:22:00"/>
    <d v="2026-08-07T19:00:00"/>
    <d v="2026-08-07T15:12:00"/>
    <s v="已完工"/>
    <s v="无"/>
    <m/>
    <m/>
    <n v="0"/>
    <n v="5"/>
    <n v="1"/>
    <n v="1"/>
    <n v="0"/>
    <n v="0"/>
    <n v="0"/>
    <s v="无"/>
    <n v="1"/>
  </r>
  <r>
    <x v="139"/>
    <x v="0"/>
    <x v="1"/>
    <s v="BJ02"/>
    <d v="2026-08-06T12:50:00"/>
    <d v="2026-08-06T14:43:00"/>
    <d v="2026-08-07T12:00:00"/>
    <d v="2026-08-07T11:48:00"/>
    <d v="2026-08-07T16:00:00"/>
    <d v="2026-08-07T12:45:00"/>
    <s v="已完工"/>
    <s v="无"/>
    <m/>
    <m/>
    <n v="0"/>
    <n v="4"/>
    <n v="1"/>
    <n v="1"/>
    <n v="0"/>
    <n v="0"/>
    <n v="0"/>
    <s v="无"/>
    <n v="1"/>
  </r>
  <r>
    <x v="140"/>
    <x v="1"/>
    <x v="0"/>
    <s v="WH01"/>
    <d v="2026-08-06T13:00:00"/>
    <d v="2026-08-06T13:43:00"/>
    <d v="2026-08-08T17:00:00"/>
    <d v="2026-08-08T16:27:00"/>
    <d v="2026-08-08T22:00:00"/>
    <d v="2026-08-08T18:14:00"/>
    <s v="已完工"/>
    <s v="无"/>
    <m/>
    <m/>
    <n v="0"/>
    <n v="5"/>
    <n v="1"/>
    <n v="1"/>
    <n v="0"/>
    <n v="0"/>
    <n v="0"/>
    <s v="无"/>
    <n v="1"/>
  </r>
  <r>
    <x v="141"/>
    <x v="1"/>
    <x v="2"/>
    <s v="WH01"/>
    <d v="2026-08-06T13:05:00"/>
    <d v="2026-08-08T18:29:00"/>
    <d v="2026-08-08T17:00:00"/>
    <d v="2026-08-08T19:59:00"/>
    <d v="2026-08-08T20:00:00"/>
    <d v="2026-08-08T21:23:00"/>
    <s v="已完工"/>
    <s v="派单超时"/>
    <d v="2026-08-08T17:00:00"/>
    <d v="2026-08-09T01:03:00"/>
    <n v="0"/>
    <n v="2"/>
    <n v="0"/>
    <n v="0"/>
    <n v="1"/>
    <n v="1"/>
    <n v="0"/>
    <s v="派单超时"/>
    <n v="1"/>
  </r>
  <r>
    <x v="142"/>
    <x v="0"/>
    <x v="0"/>
    <s v="BJ01"/>
    <d v="2026-08-06T14:10:00"/>
    <d v="2026-08-06T16:51:00"/>
    <d v="2026-08-07T15:00:00"/>
    <d v="2026-08-07T14:37:00"/>
    <d v="2026-08-07T20:00:00"/>
    <d v="2026-08-07T16:36:00"/>
    <s v="已完工"/>
    <s v="无"/>
    <m/>
    <m/>
    <n v="0"/>
    <n v="5"/>
    <n v="1"/>
    <n v="1"/>
    <n v="0"/>
    <n v="0"/>
    <n v="0"/>
    <s v="无"/>
    <n v="1"/>
  </r>
  <r>
    <x v="143"/>
    <x v="1"/>
    <x v="0"/>
    <s v="WH02"/>
    <d v="2026-08-06T15:30:00"/>
    <d v="2026-08-06T17:31:00"/>
    <d v="2026-08-07T15:00:00"/>
    <d v="2026-08-07T14:15:00"/>
    <d v="2026-08-07T20:00:00"/>
    <d v="2026-08-07T16:10:00"/>
    <s v="已完工"/>
    <s v="无"/>
    <m/>
    <m/>
    <n v="0"/>
    <n v="5"/>
    <n v="1"/>
    <n v="1"/>
    <n v="0"/>
    <n v="0"/>
    <n v="0"/>
    <s v="无"/>
    <n v="1"/>
  </r>
  <r>
    <x v="144"/>
    <x v="0"/>
    <x v="1"/>
    <s v="BJ01"/>
    <d v="2026-08-06T16:10:00"/>
    <d v="2026-08-06T19:54:00"/>
    <d v="2026-08-08T15:00:00"/>
    <d v="2026-08-08T16:34:00"/>
    <d v="2026-08-08T19:00:00"/>
    <d v="2026-08-08T18:35:00"/>
    <s v="已完工"/>
    <s v="上门超时"/>
    <d v="2026-08-08T15:00:00"/>
    <m/>
    <n v="0"/>
    <n v="2"/>
    <n v="0"/>
    <n v="1"/>
    <n v="1"/>
    <n v="0"/>
    <n v="1"/>
    <s v="上门超时"/>
    <n v="1"/>
  </r>
  <r>
    <x v="145"/>
    <x v="0"/>
    <x v="0"/>
    <s v="BJ01"/>
    <d v="2026-08-06T16:30:00"/>
    <d v="2026-08-06T19:11:00"/>
    <d v="2026-08-08T17:00:00"/>
    <d v="2026-08-08T16:30:00"/>
    <d v="2026-08-08T22:00:00"/>
    <d v="2026-08-08T18:45:00"/>
    <s v="已完工"/>
    <s v="无"/>
    <m/>
    <m/>
    <n v="0"/>
    <n v="4"/>
    <n v="1"/>
    <n v="1"/>
    <n v="0"/>
    <n v="0"/>
    <n v="0"/>
    <s v="无"/>
    <n v="1"/>
  </r>
  <r>
    <x v="146"/>
    <x v="1"/>
    <x v="1"/>
    <s v="WH01"/>
    <d v="2026-08-06T16:35:00"/>
    <d v="2026-08-06T19:01:00"/>
    <d v="2026-08-09T10:00:00"/>
    <d v="2026-08-09T09:28:00"/>
    <d v="2026-08-09T14:00:00"/>
    <d v="2026-08-09T10:27:00"/>
    <s v="已完工"/>
    <s v="无"/>
    <m/>
    <m/>
    <n v="0"/>
    <n v="4"/>
    <n v="1"/>
    <n v="1"/>
    <n v="0"/>
    <n v="0"/>
    <n v="0"/>
    <s v="无"/>
    <n v="1"/>
  </r>
  <r>
    <x v="147"/>
    <x v="0"/>
    <x v="1"/>
    <s v="BJ01"/>
    <d v="2026-08-06T16:40:00"/>
    <d v="2026-08-06T18:00:00"/>
    <d v="2026-08-07T12:00:00"/>
    <d v="2026-08-07T11:07:00"/>
    <d v="2026-08-07T16:00:00"/>
    <d v="2026-08-07T11:59:00"/>
    <s v="已完工"/>
    <s v="无"/>
    <m/>
    <m/>
    <n v="0"/>
    <n v="5"/>
    <n v="1"/>
    <n v="1"/>
    <n v="0"/>
    <n v="0"/>
    <n v="0"/>
    <s v="无"/>
    <n v="1"/>
  </r>
  <r>
    <x v="148"/>
    <x v="1"/>
    <x v="0"/>
    <s v="WH02"/>
    <d v="2026-08-06T16:50:00"/>
    <d v="2026-08-06T18:10:00"/>
    <d v="2026-08-07T17:00:00"/>
    <d v="2026-08-07T16:46:00"/>
    <d v="2026-08-07T22:00:00"/>
    <d v="2026-08-07T19:16:00"/>
    <s v="已完工"/>
    <s v="无"/>
    <m/>
    <m/>
    <n v="0"/>
    <n v="5"/>
    <n v="1"/>
    <n v="1"/>
    <n v="0"/>
    <n v="0"/>
    <n v="0"/>
    <s v="无"/>
    <n v="1"/>
  </r>
  <r>
    <x v="149"/>
    <x v="0"/>
    <x v="2"/>
    <s v="BJ02"/>
    <d v="2026-08-06T17:15:00"/>
    <d v="2026-08-06T19:07:00"/>
    <d v="2026-08-07T15:00:00"/>
    <d v="2026-08-07T14:16:00"/>
    <d v="2026-08-07T18:00:00"/>
    <d v="2026-08-07T15:35:00"/>
    <s v="已完工"/>
    <s v="无"/>
    <m/>
    <m/>
    <n v="0"/>
    <n v="5"/>
    <n v="1"/>
    <n v="1"/>
    <n v="0"/>
    <n v="0"/>
    <n v="0"/>
    <s v="无"/>
    <n v="1"/>
  </r>
  <r>
    <x v="150"/>
    <x v="1"/>
    <x v="0"/>
    <s v="WH02"/>
    <d v="2026-08-06T17:45:00"/>
    <d v="2026-08-06T19:48:00"/>
    <d v="2026-08-07T15:00:00"/>
    <d v="2026-08-07T13:59:00"/>
    <d v="2026-08-07T20:00:00"/>
    <d v="2026-08-07T15:12:00"/>
    <s v="已完工"/>
    <s v="无"/>
    <m/>
    <m/>
    <n v="0"/>
    <n v="5"/>
    <n v="1"/>
    <n v="1"/>
    <n v="0"/>
    <n v="0"/>
    <n v="0"/>
    <s v="无"/>
    <n v="1"/>
  </r>
  <r>
    <x v="151"/>
    <x v="1"/>
    <x v="0"/>
    <s v="WH01"/>
    <d v="2026-08-06T18:05:00"/>
    <d v="2026-08-06T19:30:00"/>
    <d v="2026-08-07T10:00:00"/>
    <d v="2026-08-07T08:52:00"/>
    <d v="2026-08-07T15:00:00"/>
    <d v="2026-08-07T09:42:00"/>
    <s v="已完工"/>
    <s v="无"/>
    <m/>
    <m/>
    <n v="0"/>
    <n v="5"/>
    <n v="1"/>
    <n v="1"/>
    <n v="0"/>
    <n v="0"/>
    <n v="0"/>
    <s v="无"/>
    <n v="1"/>
  </r>
  <r>
    <x v="152"/>
    <x v="0"/>
    <x v="2"/>
    <s v="BJ01"/>
    <d v="2026-08-06T18:30:00"/>
    <d v="2026-08-06T19:47:00"/>
    <d v="2026-08-07T10:00:00"/>
    <d v="2026-08-07T11:41:00"/>
    <d v="2026-08-07T13:00:00"/>
    <d v="2026-08-07T12:49:00"/>
    <s v="已完工"/>
    <s v="上门超时"/>
    <d v="2026-08-07T10:00:00"/>
    <m/>
    <n v="0"/>
    <n v="2"/>
    <n v="0"/>
    <n v="1"/>
    <n v="1"/>
    <n v="0"/>
    <n v="1"/>
    <s v="上门超时"/>
    <n v="1"/>
  </r>
  <r>
    <x v="153"/>
    <x v="2"/>
    <x v="0"/>
    <s v="CQ01"/>
    <d v="2026-08-06T18:30:00"/>
    <d v="2026-08-06T19:07:00"/>
    <d v="2026-08-07T12:00:00"/>
    <d v="2026-08-07T11:38:00"/>
    <d v="2026-08-07T17:00:00"/>
    <d v="2026-08-07T13:45:00"/>
    <s v="已完工"/>
    <s v="无"/>
    <m/>
    <m/>
    <n v="0"/>
    <n v="5"/>
    <n v="1"/>
    <n v="1"/>
    <n v="0"/>
    <n v="0"/>
    <n v="0"/>
    <s v="无"/>
    <n v="1"/>
  </r>
  <r>
    <x v="154"/>
    <x v="1"/>
    <x v="0"/>
    <s v="WH01"/>
    <d v="2026-08-06T18:30:00"/>
    <d v="2026-08-06T20:39:00"/>
    <d v="2026-08-09T10:00:00"/>
    <d v="2026-08-09T09:45:00"/>
    <d v="2026-08-09T15:00:00"/>
    <d v="2026-08-09T10:56:00"/>
    <s v="已完工"/>
    <s v="无"/>
    <m/>
    <m/>
    <n v="0"/>
    <n v="4"/>
    <n v="1"/>
    <n v="1"/>
    <n v="0"/>
    <n v="0"/>
    <n v="0"/>
    <s v="无"/>
    <n v="1"/>
  </r>
  <r>
    <x v="155"/>
    <x v="1"/>
    <x v="1"/>
    <s v="WH02"/>
    <d v="2026-08-07T08:00:00"/>
    <d v="2026-08-07T10:14:00"/>
    <d v="2026-08-08T15:00:00"/>
    <d v="2026-08-08T14:05:00"/>
    <d v="2026-08-08T19:00:00"/>
    <d v="2026-08-08T15:35:00"/>
    <s v="已完工"/>
    <s v="无"/>
    <m/>
    <m/>
    <n v="0"/>
    <n v="5"/>
    <n v="1"/>
    <n v="1"/>
    <n v="0"/>
    <n v="0"/>
    <n v="0"/>
    <s v="无"/>
    <n v="1"/>
  </r>
  <r>
    <x v="156"/>
    <x v="2"/>
    <x v="1"/>
    <s v="CQ01"/>
    <d v="2026-08-07T09:00:00"/>
    <d v="2026-08-07T12:04:00"/>
    <d v="2026-08-08T12:00:00"/>
    <d v="2026-08-08T10:58:00"/>
    <d v="2026-08-08T16:00:00"/>
    <d v="2026-08-08T13:25:00"/>
    <s v="已完工"/>
    <s v="无"/>
    <m/>
    <m/>
    <n v="0"/>
    <n v="5"/>
    <n v="1"/>
    <n v="1"/>
    <n v="0"/>
    <n v="0"/>
    <n v="0"/>
    <s v="无"/>
    <n v="1"/>
  </r>
  <r>
    <x v="157"/>
    <x v="1"/>
    <x v="2"/>
    <s v="WH02"/>
    <d v="2026-08-07T09:30:00"/>
    <d v="2026-08-07T10:59:00"/>
    <d v="2026-08-09T17:00:00"/>
    <d v="2026-08-09T16:17:00"/>
    <d v="2026-08-09T20:00:00"/>
    <d v="2026-08-09T18:32:00"/>
    <s v="已完工"/>
    <s v="无"/>
    <m/>
    <m/>
    <n v="0"/>
    <n v="5"/>
    <n v="1"/>
    <n v="1"/>
    <n v="0"/>
    <n v="0"/>
    <n v="0"/>
    <s v="无"/>
    <n v="1"/>
  </r>
  <r>
    <x v="158"/>
    <x v="2"/>
    <x v="1"/>
    <s v="CQ01"/>
    <d v="2026-08-07T11:10:00"/>
    <d v="2026-08-07T13:49:00"/>
    <d v="2026-08-08T17:00:00"/>
    <d v="2026-08-08T16:39:00"/>
    <d v="2026-08-08T21:00:00"/>
    <d v="2026-08-08T23:00:00"/>
    <s v="已完工"/>
    <s v="完工超时"/>
    <d v="2026-08-08T21:00:00"/>
    <m/>
    <n v="0"/>
    <n v="2"/>
    <n v="1"/>
    <n v="0"/>
    <n v="1"/>
    <n v="0"/>
    <n v="1"/>
    <s v="完工超时"/>
    <n v="1"/>
  </r>
  <r>
    <x v="159"/>
    <x v="1"/>
    <x v="1"/>
    <s v="WH01"/>
    <d v="2026-08-07T11:45:00"/>
    <d v="2026-08-07T15:00:00"/>
    <d v="2026-08-08T17:00:00"/>
    <d v="2026-08-08T18:39:00"/>
    <d v="2026-08-08T21:00:00"/>
    <d v="2026-08-08T20:36:00"/>
    <s v="已完工"/>
    <s v="上门超时"/>
    <d v="2026-08-08T17:00:00"/>
    <m/>
    <n v="0"/>
    <n v="2"/>
    <n v="0"/>
    <n v="1"/>
    <n v="1"/>
    <n v="0"/>
    <n v="1"/>
    <s v="上门超时"/>
    <n v="1"/>
  </r>
  <r>
    <x v="160"/>
    <x v="0"/>
    <x v="0"/>
    <s v="BJ01"/>
    <d v="2026-08-07T12:15:00"/>
    <d v="2026-08-07T14:36:00"/>
    <d v="2026-08-10T15:00:00"/>
    <d v="2026-08-10T14:15:00"/>
    <d v="2026-08-10T20:00:00"/>
    <m/>
    <s v="未完工"/>
    <s v="完工超时"/>
    <d v="2026-08-10T20:00:00"/>
    <m/>
    <n v="0"/>
    <m/>
    <n v="1"/>
    <n v="0"/>
    <n v="1"/>
    <n v="0"/>
    <n v="1"/>
    <s v="完工超时"/>
    <n v="1"/>
  </r>
  <r>
    <x v="161"/>
    <x v="1"/>
    <x v="2"/>
    <s v="WH01"/>
    <d v="2026-08-07T12:20:00"/>
    <d v="2026-08-07T14:31:00"/>
    <d v="2026-08-08T12:00:00"/>
    <d v="2026-08-08T11:13:00"/>
    <d v="2026-08-08T15:00:00"/>
    <d v="2026-08-08T13:41:00"/>
    <s v="已完工"/>
    <s v="无"/>
    <m/>
    <m/>
    <n v="0"/>
    <n v="5"/>
    <n v="1"/>
    <n v="1"/>
    <n v="0"/>
    <n v="0"/>
    <n v="0"/>
    <s v="无"/>
    <n v="1"/>
  </r>
  <r>
    <x v="162"/>
    <x v="1"/>
    <x v="1"/>
    <s v="WH01"/>
    <d v="2026-08-07T12:40:00"/>
    <d v="2026-08-07T15:59:00"/>
    <d v="2026-08-10T15:00:00"/>
    <d v="2026-08-10T13:57:00"/>
    <d v="2026-08-10T19:00:00"/>
    <d v="2026-08-10T15:11:00"/>
    <s v="已完工"/>
    <s v="无"/>
    <m/>
    <m/>
    <n v="0"/>
    <n v="4"/>
    <n v="1"/>
    <n v="1"/>
    <n v="0"/>
    <n v="0"/>
    <n v="0"/>
    <s v="无"/>
    <n v="1"/>
  </r>
  <r>
    <x v="163"/>
    <x v="0"/>
    <x v="1"/>
    <s v="BJ01"/>
    <d v="2026-08-07T13:25:00"/>
    <m/>
    <d v="2026-08-08T10:00:00"/>
    <m/>
    <d v="2026-08-08T14:00:00"/>
    <m/>
    <s v="未完工"/>
    <s v="派单超时"/>
    <d v="2026-08-08T10:00:00"/>
    <m/>
    <n v="0"/>
    <m/>
    <n v="0"/>
    <n v="0"/>
    <n v="1"/>
    <n v="0"/>
    <n v="1"/>
    <s v="派单超时"/>
    <n v="1"/>
  </r>
  <r>
    <x v="164"/>
    <x v="2"/>
    <x v="1"/>
    <s v="CQ01"/>
    <d v="2026-08-07T14:15:00"/>
    <d v="2026-08-09T16:40:00"/>
    <d v="2026-08-09T15:00:00"/>
    <d v="2026-08-09T18:01:00"/>
    <d v="2026-08-09T19:00:00"/>
    <d v="2026-08-09T20:31:00"/>
    <s v="已完工"/>
    <s v="派单超时"/>
    <d v="2026-08-09T15:00:00"/>
    <m/>
    <n v="0"/>
    <m/>
    <n v="0"/>
    <n v="0"/>
    <n v="1"/>
    <n v="0"/>
    <n v="1"/>
    <s v="派单超时"/>
    <n v="1"/>
  </r>
  <r>
    <x v="165"/>
    <x v="2"/>
    <x v="0"/>
    <s v="CQ02"/>
    <d v="2026-08-07T14:20:00"/>
    <d v="2026-08-07T17:55:00"/>
    <d v="2026-08-08T12:00:00"/>
    <d v="2026-08-08T11:03:00"/>
    <d v="2026-08-08T17:00:00"/>
    <d v="2026-08-08T11:54:00"/>
    <s v="已完工"/>
    <s v="无"/>
    <m/>
    <m/>
    <n v="0"/>
    <n v="4"/>
    <n v="1"/>
    <n v="1"/>
    <n v="0"/>
    <n v="0"/>
    <n v="0"/>
    <s v="无"/>
    <n v="1"/>
  </r>
  <r>
    <x v="166"/>
    <x v="0"/>
    <x v="1"/>
    <s v="BJ01"/>
    <d v="2026-08-07T14:30:00"/>
    <d v="2026-08-07T16:35:00"/>
    <d v="2026-08-08T10:00:00"/>
    <d v="2026-08-08T09:27:00"/>
    <d v="2026-08-08T14:00:00"/>
    <d v="2026-08-08T10:28:00"/>
    <s v="已完工"/>
    <s v="无"/>
    <m/>
    <m/>
    <n v="0"/>
    <n v="4"/>
    <n v="1"/>
    <n v="1"/>
    <n v="0"/>
    <n v="0"/>
    <n v="0"/>
    <s v="无"/>
    <n v="1"/>
  </r>
  <r>
    <x v="167"/>
    <x v="0"/>
    <x v="2"/>
    <s v="BJ01"/>
    <d v="2026-08-07T14:40:00"/>
    <d v="2026-08-07T16:20:00"/>
    <d v="2026-08-08T17:00:00"/>
    <m/>
    <d v="2026-08-08T20:00:00"/>
    <m/>
    <s v="未完工"/>
    <s v="上门超时"/>
    <d v="2026-08-08T17:00:00"/>
    <m/>
    <n v="0"/>
    <m/>
    <n v="0"/>
    <n v="0"/>
    <n v="1"/>
    <n v="0"/>
    <n v="1"/>
    <s v="上门超时"/>
    <n v="1"/>
  </r>
  <r>
    <x v="168"/>
    <x v="0"/>
    <x v="1"/>
    <s v="BJ01"/>
    <d v="2026-08-07T14:45:00"/>
    <d v="2026-08-07T16:47:00"/>
    <d v="2026-08-08T15:00:00"/>
    <d v="2026-08-08T13:48:00"/>
    <d v="2026-08-08T19:00:00"/>
    <d v="2026-08-08T14:51:00"/>
    <s v="已完工"/>
    <s v="无"/>
    <m/>
    <m/>
    <n v="0"/>
    <n v="5"/>
    <n v="1"/>
    <n v="1"/>
    <n v="0"/>
    <n v="0"/>
    <n v="0"/>
    <s v="无"/>
    <n v="1"/>
  </r>
  <r>
    <x v="169"/>
    <x v="0"/>
    <x v="1"/>
    <s v="BJ01"/>
    <d v="2026-08-07T14:45:00"/>
    <d v="2026-08-07T17:05:00"/>
    <d v="2026-08-08T17:00:00"/>
    <d v="2026-08-08T16:45:00"/>
    <d v="2026-08-08T21:00:00"/>
    <d v="2026-08-08T17:40:00"/>
    <s v="已完工"/>
    <s v="无"/>
    <m/>
    <m/>
    <n v="0"/>
    <m/>
    <n v="1"/>
    <n v="1"/>
    <n v="0"/>
    <n v="0"/>
    <n v="0"/>
    <s v="无"/>
    <n v="1"/>
  </r>
  <r>
    <x v="170"/>
    <x v="1"/>
    <x v="1"/>
    <s v="WH02"/>
    <d v="2026-08-07T14:45:00"/>
    <d v="2026-08-07T16:43:00"/>
    <d v="2026-08-09T10:00:00"/>
    <d v="2026-08-09T10:46:00"/>
    <d v="2026-08-09T14:00:00"/>
    <d v="2026-08-09T12:54:00"/>
    <s v="已完工"/>
    <s v="上门超时"/>
    <d v="2026-08-09T10:00:00"/>
    <d v="2026-08-09T16:07:00"/>
    <n v="0"/>
    <n v="3"/>
    <n v="0"/>
    <n v="1"/>
    <n v="1"/>
    <n v="1"/>
    <n v="0"/>
    <s v="上门超时"/>
    <n v="1"/>
  </r>
  <r>
    <x v="171"/>
    <x v="2"/>
    <x v="1"/>
    <s v="CQ01"/>
    <d v="2026-08-07T15:25:00"/>
    <d v="2026-08-07T17:42:00"/>
    <d v="2026-08-08T12:00:00"/>
    <d v="2026-08-08T11:37:00"/>
    <d v="2026-08-08T16:00:00"/>
    <d v="2026-08-08T13:30:00"/>
    <s v="已完工"/>
    <s v="无"/>
    <m/>
    <m/>
    <n v="0"/>
    <n v="5"/>
    <n v="1"/>
    <n v="1"/>
    <n v="0"/>
    <n v="0"/>
    <n v="0"/>
    <s v="无"/>
    <n v="1"/>
  </r>
  <r>
    <x v="172"/>
    <x v="0"/>
    <x v="1"/>
    <s v="BJ01"/>
    <d v="2026-08-07T15:40:00"/>
    <d v="2026-08-07T18:15:00"/>
    <d v="2026-08-08T12:00:00"/>
    <d v="2026-08-08T10:59:00"/>
    <d v="2026-08-08T16:00:00"/>
    <d v="2026-08-08T13:03:00"/>
    <s v="已完工"/>
    <s v="无"/>
    <m/>
    <m/>
    <n v="0"/>
    <n v="4"/>
    <n v="1"/>
    <n v="1"/>
    <n v="0"/>
    <n v="0"/>
    <n v="0"/>
    <s v="无"/>
    <n v="1"/>
  </r>
  <r>
    <x v="173"/>
    <x v="0"/>
    <x v="2"/>
    <s v="BJ02"/>
    <d v="2026-08-07T15:50:00"/>
    <d v="2026-08-07T19:37:00"/>
    <d v="2026-08-08T10:00:00"/>
    <d v="2026-08-08T08:57:00"/>
    <d v="2026-08-08T13:00:00"/>
    <d v="2026-08-08T09:58:00"/>
    <s v="已完工"/>
    <s v="无"/>
    <m/>
    <m/>
    <n v="0"/>
    <n v="4"/>
    <n v="1"/>
    <n v="1"/>
    <n v="0"/>
    <n v="0"/>
    <n v="0"/>
    <s v="无"/>
    <n v="1"/>
  </r>
  <r>
    <x v="174"/>
    <x v="0"/>
    <x v="0"/>
    <s v="BJ01"/>
    <d v="2026-08-07T16:00:00"/>
    <d v="2026-08-07T19:29:00"/>
    <d v="2026-08-08T17:00:00"/>
    <d v="2026-08-08T16:30:00"/>
    <d v="2026-08-08T22:00:00"/>
    <d v="2026-08-08T17:41:00"/>
    <s v="已完工"/>
    <s v="无"/>
    <m/>
    <m/>
    <n v="0"/>
    <n v="4"/>
    <n v="1"/>
    <n v="1"/>
    <n v="0"/>
    <n v="0"/>
    <n v="0"/>
    <s v="无"/>
    <n v="1"/>
  </r>
  <r>
    <x v="175"/>
    <x v="2"/>
    <x v="2"/>
    <s v="CQ01"/>
    <d v="2026-08-07T16:30:00"/>
    <d v="2026-08-07T20:08:00"/>
    <d v="2026-08-10T15:00:00"/>
    <d v="2026-08-10T14:07:00"/>
    <d v="2026-08-10T18:00:00"/>
    <d v="2026-08-10T15:03:00"/>
    <s v="已完工"/>
    <s v="无"/>
    <m/>
    <m/>
    <n v="0"/>
    <n v="5"/>
    <n v="1"/>
    <n v="1"/>
    <n v="0"/>
    <n v="0"/>
    <n v="0"/>
    <s v="无"/>
    <n v="1"/>
  </r>
  <r>
    <x v="176"/>
    <x v="1"/>
    <x v="1"/>
    <s v="WH01"/>
    <d v="2026-08-07T16:30:00"/>
    <d v="2026-08-07T19:49:00"/>
    <d v="2026-08-09T12:00:00"/>
    <d v="2026-08-09T11:20:00"/>
    <d v="2026-08-09T16:00:00"/>
    <m/>
    <s v="未完工"/>
    <s v="完工超时"/>
    <d v="2026-08-09T16:00:00"/>
    <m/>
    <n v="0"/>
    <m/>
    <n v="1"/>
    <n v="0"/>
    <n v="1"/>
    <n v="0"/>
    <n v="1"/>
    <s v="完工超时"/>
    <n v="1"/>
  </r>
  <r>
    <x v="177"/>
    <x v="0"/>
    <x v="0"/>
    <s v="BJ02"/>
    <d v="2026-08-07T17:25:00"/>
    <d v="2026-08-07T19:32:00"/>
    <d v="2026-08-08T12:00:00"/>
    <d v="2026-08-08T13:48:00"/>
    <d v="2026-08-08T17:00:00"/>
    <d v="2026-08-08T14:56:00"/>
    <s v="已完工"/>
    <s v="上门超时"/>
    <d v="2026-08-08T12:00:00"/>
    <d v="2026-08-08T16:42:00"/>
    <n v="0"/>
    <n v="4"/>
    <n v="0"/>
    <n v="1"/>
    <n v="1"/>
    <n v="1"/>
    <n v="0"/>
    <s v="上门超时"/>
    <n v="1"/>
  </r>
  <r>
    <x v="178"/>
    <x v="0"/>
    <x v="0"/>
    <s v="BJ01"/>
    <d v="2026-08-07T17:40:00"/>
    <d v="2026-08-07T20:18:00"/>
    <d v="2026-08-09T17:00:00"/>
    <d v="2026-08-09T15:55:00"/>
    <d v="2026-08-09T22:00:00"/>
    <d v="2026-08-09T18:00:00"/>
    <s v="已完工"/>
    <s v="无"/>
    <m/>
    <m/>
    <n v="0"/>
    <n v="4"/>
    <n v="1"/>
    <n v="1"/>
    <n v="0"/>
    <n v="0"/>
    <n v="0"/>
    <s v="无"/>
    <n v="1"/>
  </r>
  <r>
    <x v="179"/>
    <x v="0"/>
    <x v="0"/>
    <s v="BJ02"/>
    <d v="2026-08-07T17:55:00"/>
    <d v="2026-08-07T18:48:00"/>
    <d v="2026-08-10T10:00:00"/>
    <d v="2026-08-10T08:45:00"/>
    <d v="2026-08-10T15:00:00"/>
    <d v="2026-08-10T11:01:00"/>
    <s v="已完工"/>
    <s v="无"/>
    <m/>
    <m/>
    <n v="0"/>
    <n v="3"/>
    <n v="1"/>
    <n v="1"/>
    <n v="0"/>
    <n v="0"/>
    <n v="0"/>
    <s v="无"/>
    <n v="1"/>
  </r>
  <r>
    <x v="180"/>
    <x v="0"/>
    <x v="1"/>
    <s v="BJ01"/>
    <d v="2026-08-07T18:05:00"/>
    <d v="2026-08-07T19:29:00"/>
    <d v="2026-08-10T10:00:00"/>
    <d v="2026-08-10T09:43:00"/>
    <d v="2026-08-10T14:00:00"/>
    <d v="2026-08-10T10:33:00"/>
    <s v="已完工"/>
    <s v="无"/>
    <m/>
    <m/>
    <n v="0"/>
    <n v="4"/>
    <n v="1"/>
    <n v="1"/>
    <n v="0"/>
    <n v="0"/>
    <n v="0"/>
    <s v="无"/>
    <n v="1"/>
  </r>
  <r>
    <x v="181"/>
    <x v="0"/>
    <x v="2"/>
    <s v="BJ02"/>
    <d v="2026-08-08T08:35:00"/>
    <d v="2026-08-08T09:39:00"/>
    <d v="2026-08-09T10:00:00"/>
    <d v="2026-08-09T09:32:00"/>
    <d v="2026-08-09T13:00:00"/>
    <d v="2026-08-09T11:05:00"/>
    <s v="已完工"/>
    <s v="无"/>
    <m/>
    <m/>
    <n v="0"/>
    <n v="5"/>
    <n v="1"/>
    <n v="1"/>
    <n v="0"/>
    <n v="0"/>
    <n v="0"/>
    <s v="无"/>
    <n v="1"/>
  </r>
  <r>
    <x v="182"/>
    <x v="0"/>
    <x v="0"/>
    <s v="BJ02"/>
    <d v="2026-08-08T08:50:00"/>
    <d v="2026-08-09T16:01:00"/>
    <d v="2026-08-09T15:00:00"/>
    <d v="2026-08-09T16:25:00"/>
    <d v="2026-08-09T20:00:00"/>
    <d v="2026-08-09T18:26:00"/>
    <s v="已完工"/>
    <s v="派单超时"/>
    <d v="2026-08-09T15:00:00"/>
    <d v="2026-08-10T00:19:00"/>
    <n v="0"/>
    <n v="4"/>
    <n v="0"/>
    <n v="1"/>
    <n v="1"/>
    <n v="1"/>
    <n v="0"/>
    <s v="派单超时"/>
    <n v="1"/>
  </r>
  <r>
    <x v="183"/>
    <x v="2"/>
    <x v="2"/>
    <s v="CQ02"/>
    <d v="2026-08-08T09:20:00"/>
    <d v="2026-08-08T10:54:00"/>
    <d v="2026-08-09T12:00:00"/>
    <d v="2026-08-09T11:29:00"/>
    <d v="2026-08-09T15:00:00"/>
    <d v="2026-08-09T13:07:00"/>
    <s v="已完工"/>
    <s v="无"/>
    <m/>
    <m/>
    <n v="0"/>
    <n v="5"/>
    <n v="1"/>
    <n v="1"/>
    <n v="0"/>
    <n v="0"/>
    <n v="0"/>
    <s v="无"/>
    <n v="1"/>
  </r>
  <r>
    <x v="184"/>
    <x v="1"/>
    <x v="0"/>
    <s v="WH02"/>
    <d v="2026-08-08T10:15:00"/>
    <d v="2026-08-08T13:00:00"/>
    <d v="2026-08-09T15:00:00"/>
    <d v="2026-08-09T14:14:00"/>
    <d v="2026-08-09T20:00:00"/>
    <d v="2026-08-09T16:29:00"/>
    <s v="已完工"/>
    <s v="无"/>
    <m/>
    <m/>
    <n v="0"/>
    <n v="5"/>
    <n v="1"/>
    <n v="1"/>
    <n v="0"/>
    <n v="0"/>
    <n v="0"/>
    <s v="无"/>
    <n v="1"/>
  </r>
  <r>
    <x v="185"/>
    <x v="2"/>
    <x v="0"/>
    <s v="CQ02"/>
    <d v="2026-08-08T10:55:00"/>
    <d v="2026-08-08T12:22:00"/>
    <d v="2026-08-09T15:00:00"/>
    <d v="2026-08-09T16:34:00"/>
    <d v="2026-08-09T20:00:00"/>
    <d v="2026-08-09T18:02:00"/>
    <s v="已完工"/>
    <s v="上门超时"/>
    <d v="2026-08-09T15:00:00"/>
    <m/>
    <n v="0"/>
    <n v="3"/>
    <n v="0"/>
    <n v="1"/>
    <n v="1"/>
    <n v="0"/>
    <n v="1"/>
    <s v="上门超时"/>
    <n v="1"/>
  </r>
  <r>
    <x v="186"/>
    <x v="2"/>
    <x v="1"/>
    <s v="CQ02"/>
    <d v="2026-08-08T12:20:00"/>
    <d v="2026-08-08T13:48:00"/>
    <d v="2026-08-10T12:00:00"/>
    <d v="2026-08-10T10:47:00"/>
    <d v="2026-08-10T16:00:00"/>
    <d v="2026-08-10T11:57:00"/>
    <s v="已完工"/>
    <s v="无"/>
    <m/>
    <m/>
    <n v="0"/>
    <n v="4"/>
    <n v="1"/>
    <n v="1"/>
    <n v="0"/>
    <n v="0"/>
    <n v="0"/>
    <s v="无"/>
    <n v="1"/>
  </r>
  <r>
    <x v="187"/>
    <x v="0"/>
    <x v="1"/>
    <s v="BJ01"/>
    <d v="2026-08-08T12:40:00"/>
    <d v="2026-08-08T15:03:00"/>
    <d v="2026-08-09T15:00:00"/>
    <d v="2026-08-09T13:56:00"/>
    <d v="2026-08-09T19:00:00"/>
    <d v="2026-08-09T14:52:00"/>
    <s v="已完工"/>
    <s v="无"/>
    <m/>
    <m/>
    <n v="0"/>
    <m/>
    <n v="1"/>
    <n v="1"/>
    <n v="0"/>
    <n v="0"/>
    <n v="0"/>
    <s v="无"/>
    <n v="1"/>
  </r>
  <r>
    <x v="188"/>
    <x v="1"/>
    <x v="0"/>
    <s v="WH02"/>
    <d v="2026-08-08T12:45:00"/>
    <d v="2026-08-09T15:51:00"/>
    <d v="2026-08-09T15:00:00"/>
    <d v="2026-08-09T16:58:00"/>
    <d v="2026-08-09T20:00:00"/>
    <d v="2026-08-09T18:59:00"/>
    <s v="已完工"/>
    <s v="派单超时"/>
    <d v="2026-08-09T15:00:00"/>
    <m/>
    <n v="0"/>
    <n v="4"/>
    <n v="0"/>
    <n v="1"/>
    <n v="1"/>
    <n v="0"/>
    <n v="1"/>
    <s v="派单超时"/>
    <n v="1"/>
  </r>
  <r>
    <x v="189"/>
    <x v="1"/>
    <x v="0"/>
    <s v="WH01"/>
    <d v="2026-08-08T14:00:00"/>
    <d v="2026-08-08T16:30:00"/>
    <d v="2026-08-09T12:00:00"/>
    <d v="2026-08-09T11:40:00"/>
    <d v="2026-08-09T17:00:00"/>
    <d v="2026-08-09T19:22:00"/>
    <s v="已完工"/>
    <s v="完工超时"/>
    <d v="2026-08-09T17:00:00"/>
    <m/>
    <n v="1"/>
    <n v="3"/>
    <n v="1"/>
    <n v="0"/>
    <n v="1"/>
    <n v="0"/>
    <n v="1"/>
    <s v="完工超时"/>
    <n v="1"/>
  </r>
  <r>
    <x v="190"/>
    <x v="0"/>
    <x v="0"/>
    <s v="BJ01"/>
    <d v="2026-08-08T14:30:00"/>
    <d v="2026-08-08T17:49:00"/>
    <d v="2026-08-10T17:00:00"/>
    <d v="2026-08-10T15:58:00"/>
    <d v="2026-08-10T22:00:00"/>
    <d v="2026-08-10T17:14:00"/>
    <s v="已完工"/>
    <s v="无"/>
    <m/>
    <m/>
    <n v="0"/>
    <n v="4"/>
    <n v="1"/>
    <n v="1"/>
    <n v="0"/>
    <n v="0"/>
    <n v="0"/>
    <s v="无"/>
    <n v="1"/>
  </r>
  <r>
    <x v="191"/>
    <x v="0"/>
    <x v="0"/>
    <s v="BJ02"/>
    <d v="2026-08-08T15:00:00"/>
    <d v="2026-08-08T18:46:00"/>
    <d v="2026-08-09T10:00:00"/>
    <d v="2026-08-09T10:39:00"/>
    <d v="2026-08-09T15:00:00"/>
    <d v="2026-08-09T11:52:00"/>
    <s v="已完工"/>
    <s v="上门超时"/>
    <d v="2026-08-09T10:00:00"/>
    <d v="2026-08-09T14:35:00"/>
    <n v="0"/>
    <n v="4"/>
    <n v="0"/>
    <n v="1"/>
    <n v="1"/>
    <n v="1"/>
    <n v="0"/>
    <s v="上门超时"/>
    <n v="1"/>
  </r>
  <r>
    <x v="192"/>
    <x v="1"/>
    <x v="1"/>
    <s v="WH02"/>
    <d v="2026-08-08T15:40:00"/>
    <d v="2026-08-08T18:23:00"/>
    <d v="2026-08-09T10:00:00"/>
    <d v="2026-08-09T09:10:00"/>
    <d v="2026-08-09T14:00:00"/>
    <d v="2026-08-09T10:55:00"/>
    <s v="已完工"/>
    <s v="无"/>
    <m/>
    <m/>
    <n v="0"/>
    <n v="4"/>
    <n v="1"/>
    <n v="1"/>
    <n v="0"/>
    <n v="0"/>
    <n v="0"/>
    <s v="无"/>
    <n v="1"/>
  </r>
  <r>
    <x v="193"/>
    <x v="0"/>
    <x v="1"/>
    <s v="BJ01"/>
    <d v="2026-08-08T15:50:00"/>
    <d v="2026-08-08T16:40:00"/>
    <d v="2026-08-10T12:00:00"/>
    <d v="2026-08-10T11:46:00"/>
    <d v="2026-08-10T16:00:00"/>
    <d v="2026-08-10T13:52:00"/>
    <s v="已完工"/>
    <s v="无"/>
    <m/>
    <m/>
    <n v="0"/>
    <m/>
    <n v="1"/>
    <n v="1"/>
    <n v="0"/>
    <n v="0"/>
    <n v="0"/>
    <s v="无"/>
    <n v="1"/>
  </r>
  <r>
    <x v="194"/>
    <x v="1"/>
    <x v="0"/>
    <s v="WH02"/>
    <d v="2026-08-08T16:00:00"/>
    <d v="2026-08-10T13:38:00"/>
    <d v="2026-08-10T12:00:00"/>
    <d v="2026-08-10T14:15:00"/>
    <d v="2026-08-10T17:00:00"/>
    <d v="2026-08-10T16:25:00"/>
    <s v="已完工"/>
    <s v="派单超时"/>
    <d v="2026-08-10T12:00:00"/>
    <d v="2026-08-10T19:20:00"/>
    <n v="0"/>
    <n v="4"/>
    <n v="0"/>
    <n v="1"/>
    <n v="1"/>
    <n v="1"/>
    <n v="0"/>
    <s v="派单超时"/>
    <n v="1"/>
  </r>
  <r>
    <x v="195"/>
    <x v="0"/>
    <x v="2"/>
    <s v="BJ02"/>
    <d v="2026-08-08T16:05:00"/>
    <d v="2026-08-08T17:59:00"/>
    <d v="2026-08-09T17:00:00"/>
    <d v="2026-08-09T16:48:00"/>
    <d v="2026-08-09T20:00:00"/>
    <d v="2026-08-09T18:17:00"/>
    <s v="已完工"/>
    <s v="无"/>
    <m/>
    <m/>
    <n v="0"/>
    <m/>
    <n v="1"/>
    <n v="1"/>
    <n v="0"/>
    <n v="0"/>
    <n v="0"/>
    <s v="无"/>
    <n v="1"/>
  </r>
  <r>
    <x v="196"/>
    <x v="2"/>
    <x v="0"/>
    <s v="CQ01"/>
    <d v="2026-08-08T16:10:00"/>
    <d v="2026-08-08T16:41:00"/>
    <d v="2026-08-10T10:00:00"/>
    <d v="2026-08-10T09:32:00"/>
    <d v="2026-08-10T15:00:00"/>
    <d v="2026-08-10T10:32:00"/>
    <s v="已完工"/>
    <s v="无"/>
    <m/>
    <m/>
    <n v="1"/>
    <m/>
    <n v="1"/>
    <n v="1"/>
    <n v="0"/>
    <n v="0"/>
    <n v="0"/>
    <s v="无"/>
    <n v="1"/>
  </r>
  <r>
    <x v="197"/>
    <x v="0"/>
    <x v="0"/>
    <s v="BJ02"/>
    <d v="2026-08-08T16:35:00"/>
    <d v="2026-08-08T17:21:00"/>
    <d v="2026-08-10T17:00:00"/>
    <d v="2026-08-10T16:20:00"/>
    <d v="2026-08-10T22:00:00"/>
    <d v="2026-08-10T17:30:00"/>
    <s v="已完工"/>
    <s v="无"/>
    <m/>
    <m/>
    <n v="0"/>
    <n v="4"/>
    <n v="1"/>
    <n v="1"/>
    <n v="0"/>
    <n v="0"/>
    <n v="0"/>
    <s v="无"/>
    <n v="1"/>
  </r>
  <r>
    <x v="198"/>
    <x v="2"/>
    <x v="0"/>
    <s v="CQ01"/>
    <d v="2026-08-08T16:35:00"/>
    <d v="2026-08-08T18:17:00"/>
    <d v="2026-08-09T15:00:00"/>
    <d v="2026-08-09T14:12:00"/>
    <d v="2026-08-09T20:00:00"/>
    <d v="2026-08-09T22:06:00"/>
    <s v="已完工"/>
    <s v="完工超时"/>
    <d v="2026-08-09T20:00:00"/>
    <d v="2026-08-10T00:44:00"/>
    <n v="0"/>
    <m/>
    <n v="1"/>
    <n v="0"/>
    <n v="1"/>
    <n v="1"/>
    <n v="0"/>
    <s v="完工超时"/>
    <n v="1"/>
  </r>
  <r>
    <x v="199"/>
    <x v="0"/>
    <x v="1"/>
    <s v="BJ01"/>
    <d v="2026-08-08T18:05:00"/>
    <d v="2026-08-08T20:23:00"/>
    <d v="2026-08-09T15:00:00"/>
    <d v="2026-08-09T14:07:00"/>
    <d v="2026-08-09T19:00:00"/>
    <d v="2026-08-09T15:00:00"/>
    <s v="已完工"/>
    <s v="无"/>
    <m/>
    <m/>
    <n v="0"/>
    <n v="3"/>
    <n v="1"/>
    <n v="1"/>
    <n v="0"/>
    <n v="0"/>
    <n v="0"/>
    <s v="无"/>
    <n v="1"/>
  </r>
  <r>
    <x v="200"/>
    <x v="1"/>
    <x v="2"/>
    <s v="WH01"/>
    <d v="2026-08-08T18:10:00"/>
    <d v="2026-08-08T19:49:00"/>
    <d v="2026-08-09T15:00:00"/>
    <d v="2026-08-09T14:30:00"/>
    <d v="2026-08-09T18:00:00"/>
    <d v="2026-08-09T16:09:00"/>
    <s v="已完工"/>
    <s v="无"/>
    <m/>
    <m/>
    <n v="0"/>
    <n v="3"/>
    <n v="1"/>
    <n v="1"/>
    <n v="0"/>
    <n v="0"/>
    <n v="0"/>
    <s v="无"/>
    <n v="1"/>
  </r>
  <r>
    <x v="201"/>
    <x v="2"/>
    <x v="0"/>
    <s v="CQ02"/>
    <d v="2026-08-08T18:20:00"/>
    <d v="2026-08-08T21:48:00"/>
    <d v="2026-08-09T12:00:00"/>
    <d v="2026-08-09T11:12:00"/>
    <d v="2026-08-09T17:00:00"/>
    <d v="2026-08-09T13:00:00"/>
    <s v="已完工"/>
    <s v="无"/>
    <m/>
    <m/>
    <n v="0"/>
    <n v="5"/>
    <n v="1"/>
    <n v="1"/>
    <n v="0"/>
    <n v="0"/>
    <n v="0"/>
    <s v="无"/>
    <n v="1"/>
  </r>
  <r>
    <x v="202"/>
    <x v="1"/>
    <x v="1"/>
    <s v="WH01"/>
    <d v="2026-08-08T18:40:00"/>
    <d v="2026-08-08T21:19:00"/>
    <d v="2026-08-09T15:00:00"/>
    <d v="2026-08-09T13:59:00"/>
    <d v="2026-08-09T19:00:00"/>
    <d v="2026-08-09T15:55:00"/>
    <s v="已完工"/>
    <s v="无"/>
    <m/>
    <m/>
    <n v="0"/>
    <m/>
    <n v="1"/>
    <n v="1"/>
    <n v="0"/>
    <n v="0"/>
    <n v="0"/>
    <s v="无"/>
    <n v="1"/>
  </r>
  <r>
    <x v="203"/>
    <x v="1"/>
    <x v="2"/>
    <s v="WH01"/>
    <d v="2026-08-09T08:50:00"/>
    <d v="2026-08-09T11:18:00"/>
    <d v="2026-08-10T15:00:00"/>
    <d v="2026-08-10T14:37:00"/>
    <d v="2026-08-10T18:00:00"/>
    <d v="2026-08-10T16:47:00"/>
    <s v="已完工"/>
    <s v="无"/>
    <m/>
    <m/>
    <n v="0"/>
    <m/>
    <n v="1"/>
    <n v="1"/>
    <n v="0"/>
    <n v="0"/>
    <n v="0"/>
    <s v="无"/>
    <n v="1"/>
  </r>
  <r>
    <x v="204"/>
    <x v="0"/>
    <x v="2"/>
    <s v="BJ01"/>
    <d v="2026-08-09T08:55:00"/>
    <d v="2026-08-09T10:24:00"/>
    <d v="2026-08-10T10:00:00"/>
    <d v="2026-08-10T09:01:00"/>
    <d v="2026-08-10T13:00:00"/>
    <d v="2026-08-10T11:07:00"/>
    <s v="已完工"/>
    <s v="无"/>
    <m/>
    <m/>
    <n v="0"/>
    <n v="5"/>
    <n v="1"/>
    <n v="1"/>
    <n v="0"/>
    <n v="0"/>
    <n v="0"/>
    <s v="无"/>
    <n v="1"/>
  </r>
  <r>
    <x v="205"/>
    <x v="2"/>
    <x v="0"/>
    <s v="CQ01"/>
    <d v="2026-08-09T09:20:00"/>
    <d v="2026-08-09T12:49:00"/>
    <d v="2026-08-10T17:00:00"/>
    <d v="2026-08-10T16:46:00"/>
    <d v="2026-08-10T22:00:00"/>
    <d v="2026-08-10T19:04:00"/>
    <s v="已完工"/>
    <s v="无"/>
    <m/>
    <m/>
    <n v="0"/>
    <n v="5"/>
    <n v="1"/>
    <n v="1"/>
    <n v="0"/>
    <n v="0"/>
    <n v="0"/>
    <s v="无"/>
    <n v="1"/>
  </r>
  <r>
    <x v="206"/>
    <x v="0"/>
    <x v="2"/>
    <s v="BJ01"/>
    <d v="2026-08-09T10:05:00"/>
    <d v="2026-08-09T10:37:00"/>
    <d v="2026-08-10T12:00:00"/>
    <d v="2026-08-10T11:27:00"/>
    <d v="2026-08-10T15:00:00"/>
    <d v="2026-08-10T13:30:00"/>
    <s v="已完工"/>
    <s v="无"/>
    <m/>
    <m/>
    <n v="0"/>
    <n v="5"/>
    <n v="1"/>
    <n v="1"/>
    <n v="0"/>
    <n v="0"/>
    <n v="0"/>
    <s v="无"/>
    <n v="1"/>
  </r>
  <r>
    <x v="207"/>
    <x v="1"/>
    <x v="0"/>
    <s v="WH02"/>
    <d v="2026-08-09T10:25:00"/>
    <d v="2026-08-09T13:22:00"/>
    <d v="2026-08-12T17:00:00"/>
    <d v="2026-08-12T16:23:00"/>
    <d v="2026-08-12T22:00:00"/>
    <m/>
    <s v="未完工"/>
    <s v="完工超时"/>
    <d v="2026-08-12T22:00:00"/>
    <m/>
    <n v="0"/>
    <m/>
    <n v="1"/>
    <n v="0"/>
    <n v="1"/>
    <n v="0"/>
    <n v="1"/>
    <s v="完工超时"/>
    <n v="1"/>
  </r>
  <r>
    <x v="208"/>
    <x v="1"/>
    <x v="1"/>
    <s v="WH01"/>
    <d v="2026-08-09T10:50:00"/>
    <d v="2026-08-09T14:38:00"/>
    <d v="2026-08-10T15:00:00"/>
    <d v="2026-08-10T14:22:00"/>
    <d v="2026-08-10T19:00:00"/>
    <d v="2026-08-10T16:35:00"/>
    <s v="已完工"/>
    <s v="无"/>
    <m/>
    <m/>
    <n v="0"/>
    <n v="3"/>
    <n v="1"/>
    <n v="1"/>
    <n v="0"/>
    <n v="0"/>
    <n v="0"/>
    <s v="无"/>
    <n v="1"/>
  </r>
  <r>
    <x v="209"/>
    <x v="2"/>
    <x v="0"/>
    <s v="CQ02"/>
    <d v="2026-08-09T11:50:00"/>
    <d v="2026-08-09T12:53:00"/>
    <d v="2026-08-10T15:00:00"/>
    <d v="2026-08-10T14:24:00"/>
    <d v="2026-08-10T20:00:00"/>
    <d v="2026-08-10T16:24:00"/>
    <s v="已完工"/>
    <s v="无"/>
    <m/>
    <m/>
    <n v="0"/>
    <m/>
    <n v="1"/>
    <n v="1"/>
    <n v="0"/>
    <n v="0"/>
    <n v="0"/>
    <s v="无"/>
    <n v="1"/>
  </r>
  <r>
    <x v="210"/>
    <x v="2"/>
    <x v="2"/>
    <s v="CQ02"/>
    <d v="2026-08-09T12:45:00"/>
    <d v="2026-08-10T10:39:00"/>
    <d v="2026-08-10T10:00:00"/>
    <d v="2026-08-10T12:19:00"/>
    <d v="2026-08-10T13:00:00"/>
    <d v="2026-08-10T13:37:00"/>
    <s v="已完工"/>
    <s v="派单超时"/>
    <d v="2026-08-10T10:00:00"/>
    <d v="2026-08-10T14:28:00"/>
    <n v="0"/>
    <n v="2"/>
    <n v="0"/>
    <n v="0"/>
    <n v="1"/>
    <n v="1"/>
    <n v="0"/>
    <s v="派单超时"/>
    <n v="1"/>
  </r>
  <r>
    <x v="211"/>
    <x v="0"/>
    <x v="1"/>
    <s v="BJ01"/>
    <d v="2026-08-09T13:00:00"/>
    <d v="2026-08-10T15:18:00"/>
    <d v="2026-08-10T15:00:00"/>
    <d v="2026-08-10T17:08:00"/>
    <d v="2026-08-10T19:00:00"/>
    <d v="2026-08-10T19:34:00"/>
    <s v="已完工"/>
    <s v="派单超时"/>
    <d v="2026-08-10T15:00:00"/>
    <d v="2026-08-10T22:03:00"/>
    <n v="0"/>
    <n v="5"/>
    <n v="0"/>
    <n v="0"/>
    <n v="1"/>
    <n v="1"/>
    <n v="0"/>
    <s v="派单超时"/>
    <n v="1"/>
  </r>
  <r>
    <x v="212"/>
    <x v="1"/>
    <x v="0"/>
    <s v="WH01"/>
    <d v="2026-08-09T13:40:00"/>
    <d v="2026-08-09T15:25:00"/>
    <d v="2026-08-12T17:00:00"/>
    <d v="2026-08-12T16:47:00"/>
    <d v="2026-08-12T22:00:00"/>
    <d v="2026-08-12T18:20:00"/>
    <s v="已完工"/>
    <s v="无"/>
    <m/>
    <m/>
    <n v="0"/>
    <n v="3"/>
    <n v="1"/>
    <n v="1"/>
    <n v="0"/>
    <n v="0"/>
    <n v="0"/>
    <s v="无"/>
    <n v="1"/>
  </r>
  <r>
    <x v="213"/>
    <x v="0"/>
    <x v="1"/>
    <s v="BJ01"/>
    <d v="2026-08-09T13:45:00"/>
    <d v="2026-08-09T17:45:00"/>
    <d v="2026-08-10T12:00:00"/>
    <d v="2026-08-10T11:10:00"/>
    <d v="2026-08-10T16:00:00"/>
    <d v="2026-08-10T13:11:00"/>
    <s v="已完工"/>
    <s v="无"/>
    <m/>
    <m/>
    <n v="0"/>
    <n v="4"/>
    <n v="1"/>
    <n v="1"/>
    <n v="0"/>
    <n v="0"/>
    <n v="0"/>
    <s v="无"/>
    <n v="1"/>
  </r>
  <r>
    <x v="214"/>
    <x v="2"/>
    <x v="0"/>
    <s v="CQ01"/>
    <d v="2026-08-09T14:55:00"/>
    <d v="2026-08-09T16:25:00"/>
    <d v="2026-08-10T17:00:00"/>
    <d v="2026-08-10T16:11:00"/>
    <d v="2026-08-10T22:00:00"/>
    <d v="2026-08-11T00:59:00"/>
    <s v="已完工"/>
    <s v="完工超时"/>
    <d v="2026-08-10T22:00:00"/>
    <d v="2026-08-11T02:15:00"/>
    <n v="1"/>
    <n v="1"/>
    <n v="1"/>
    <n v="0"/>
    <n v="1"/>
    <n v="1"/>
    <n v="0"/>
    <s v="完工超时"/>
    <n v="1"/>
  </r>
  <r>
    <x v="215"/>
    <x v="2"/>
    <x v="1"/>
    <s v="CQ02"/>
    <d v="2026-08-09T16:05:00"/>
    <d v="2026-08-09T18:12:00"/>
    <d v="2026-08-12T10:00:00"/>
    <d v="2026-08-12T11:49:00"/>
    <d v="2026-08-12T14:00:00"/>
    <d v="2026-08-12T13:05:00"/>
    <s v="已完工"/>
    <s v="上门超时"/>
    <d v="2026-08-12T10:00:00"/>
    <d v="2026-08-12T16:48:00"/>
    <n v="0"/>
    <n v="5"/>
    <n v="0"/>
    <n v="1"/>
    <n v="1"/>
    <n v="1"/>
    <n v="0"/>
    <s v="上门超时"/>
    <n v="1"/>
  </r>
  <r>
    <x v="216"/>
    <x v="1"/>
    <x v="0"/>
    <s v="WH02"/>
    <d v="2026-08-09T16:55:00"/>
    <d v="2026-08-09T20:04:00"/>
    <d v="2026-08-11T15:00:00"/>
    <d v="2026-08-11T14:32:00"/>
    <d v="2026-08-11T20:00:00"/>
    <d v="2026-08-11T21:36:00"/>
    <s v="已完工"/>
    <s v="完工超时"/>
    <d v="2026-08-11T20:00:00"/>
    <d v="2026-08-11T23:07:00"/>
    <n v="0"/>
    <n v="3"/>
    <n v="1"/>
    <n v="0"/>
    <n v="1"/>
    <n v="1"/>
    <n v="0"/>
    <s v="完工超时"/>
    <n v="1"/>
  </r>
  <r>
    <x v="217"/>
    <x v="0"/>
    <x v="0"/>
    <s v="BJ01"/>
    <d v="2026-08-09T17:00:00"/>
    <d v="2026-08-09T19:54:00"/>
    <d v="2026-08-11T12:00:00"/>
    <d v="2026-08-11T11:43:00"/>
    <d v="2026-08-11T17:00:00"/>
    <d v="2026-08-11T12:33:00"/>
    <s v="已完工"/>
    <s v="无"/>
    <m/>
    <m/>
    <n v="0"/>
    <n v="4"/>
    <n v="1"/>
    <n v="1"/>
    <n v="0"/>
    <n v="0"/>
    <n v="0"/>
    <s v="无"/>
    <n v="1"/>
  </r>
  <r>
    <x v="218"/>
    <x v="0"/>
    <x v="2"/>
    <s v="BJ02"/>
    <d v="2026-08-09T17:20:00"/>
    <d v="2026-08-09T18:27:00"/>
    <d v="2026-08-12T15:00:00"/>
    <d v="2026-08-12T14:24:00"/>
    <d v="2026-08-12T18:00:00"/>
    <d v="2026-08-12T15:16:00"/>
    <s v="已完工"/>
    <s v="无"/>
    <m/>
    <m/>
    <n v="0"/>
    <n v="3"/>
    <n v="1"/>
    <n v="1"/>
    <n v="0"/>
    <n v="0"/>
    <n v="0"/>
    <s v="无"/>
    <n v="1"/>
  </r>
  <r>
    <x v="219"/>
    <x v="0"/>
    <x v="1"/>
    <s v="BJ01"/>
    <d v="2026-08-10T08:45:00"/>
    <d v="2026-08-10T09:26:00"/>
    <d v="2026-08-12T17:00:00"/>
    <d v="2026-08-12T16:11:00"/>
    <d v="2026-08-12T21:00:00"/>
    <d v="2026-08-12T17:05:00"/>
    <s v="已完工"/>
    <s v="无"/>
    <m/>
    <m/>
    <n v="0"/>
    <n v="4"/>
    <n v="1"/>
    <n v="1"/>
    <n v="0"/>
    <n v="0"/>
    <n v="0"/>
    <s v="无"/>
    <n v="1"/>
  </r>
  <r>
    <x v="220"/>
    <x v="1"/>
    <x v="1"/>
    <s v="WH01"/>
    <d v="2026-08-10T10:30:00"/>
    <d v="2026-08-10T13:13:00"/>
    <d v="2026-08-11T12:00:00"/>
    <d v="2026-08-11T11:12:00"/>
    <d v="2026-08-11T16:00:00"/>
    <d v="2026-08-11T12:16:00"/>
    <s v="已完工"/>
    <s v="无"/>
    <m/>
    <m/>
    <n v="0"/>
    <n v="5"/>
    <n v="1"/>
    <n v="1"/>
    <n v="0"/>
    <n v="0"/>
    <n v="0"/>
    <s v="无"/>
    <n v="1"/>
  </r>
  <r>
    <x v="221"/>
    <x v="0"/>
    <x v="0"/>
    <s v="BJ02"/>
    <d v="2026-08-10T11:00:00"/>
    <d v="2026-08-10T11:30:00"/>
    <d v="2026-08-12T15:00:00"/>
    <d v="2026-08-12T15:49:00"/>
    <d v="2026-08-12T20:00:00"/>
    <d v="2026-08-12T17:11:00"/>
    <s v="已完工"/>
    <s v="上门超时"/>
    <d v="2026-08-12T15:00:00"/>
    <d v="2026-08-12T17:49:00"/>
    <n v="0"/>
    <n v="4"/>
    <n v="0"/>
    <n v="1"/>
    <n v="1"/>
    <n v="1"/>
    <n v="0"/>
    <s v="上门超时"/>
    <n v="1"/>
  </r>
  <r>
    <x v="222"/>
    <x v="1"/>
    <x v="0"/>
    <s v="WH02"/>
    <d v="2026-08-10T11:25:00"/>
    <d v="2026-08-10T12:22:00"/>
    <d v="2026-08-11T10:00:00"/>
    <d v="2026-08-11T09:44:00"/>
    <d v="2026-08-11T15:00:00"/>
    <d v="2026-08-11T10:59:00"/>
    <s v="已完工"/>
    <s v="无"/>
    <m/>
    <m/>
    <n v="0"/>
    <n v="5"/>
    <n v="1"/>
    <n v="1"/>
    <n v="0"/>
    <n v="0"/>
    <n v="0"/>
    <s v="无"/>
    <n v="1"/>
  </r>
  <r>
    <x v="223"/>
    <x v="1"/>
    <x v="1"/>
    <s v="WH01"/>
    <d v="2026-08-10T11:50:00"/>
    <d v="2026-08-10T14:54:00"/>
    <d v="2026-08-11T10:00:00"/>
    <d v="2026-08-11T09:41:00"/>
    <d v="2026-08-11T14:00:00"/>
    <d v="2026-08-11T11:25:00"/>
    <s v="已完工"/>
    <s v="无"/>
    <m/>
    <m/>
    <n v="0"/>
    <n v="4"/>
    <n v="1"/>
    <n v="1"/>
    <n v="0"/>
    <n v="0"/>
    <n v="0"/>
    <s v="无"/>
    <n v="1"/>
  </r>
  <r>
    <x v="224"/>
    <x v="0"/>
    <x v="0"/>
    <s v="BJ01"/>
    <d v="2026-08-10T12:05:00"/>
    <d v="2026-08-10T13:29:00"/>
    <d v="2026-08-12T10:00:00"/>
    <d v="2026-08-12T11:58:00"/>
    <d v="2026-08-12T15:00:00"/>
    <d v="2026-08-12T14:28:00"/>
    <s v="已完工"/>
    <s v="上门超时"/>
    <d v="2026-08-12T10:00:00"/>
    <d v="2026-08-12T20:14:00"/>
    <n v="0"/>
    <n v="3"/>
    <n v="0"/>
    <n v="1"/>
    <n v="1"/>
    <n v="1"/>
    <n v="0"/>
    <s v="上门超时"/>
    <n v="1"/>
  </r>
  <r>
    <x v="225"/>
    <x v="1"/>
    <x v="1"/>
    <s v="WH02"/>
    <d v="2026-08-10T12:05:00"/>
    <d v="2026-08-10T15:16:00"/>
    <d v="2026-08-11T15:00:00"/>
    <d v="2026-08-11T14:44:00"/>
    <d v="2026-08-11T19:00:00"/>
    <d v="2026-08-11T15:40:00"/>
    <s v="已完工"/>
    <s v="无"/>
    <m/>
    <m/>
    <n v="0"/>
    <n v="5"/>
    <n v="1"/>
    <n v="1"/>
    <n v="0"/>
    <n v="0"/>
    <n v="0"/>
    <s v="无"/>
    <n v="1"/>
  </r>
  <r>
    <x v="226"/>
    <x v="2"/>
    <x v="1"/>
    <s v="CQ01"/>
    <d v="2026-08-10T12:50:00"/>
    <d v="2026-08-10T16:48:00"/>
    <d v="2026-08-11T12:00:00"/>
    <d v="2026-08-11T10:52:00"/>
    <d v="2026-08-11T16:00:00"/>
    <d v="2026-08-11T12:28:00"/>
    <s v="已完工"/>
    <s v="无"/>
    <m/>
    <m/>
    <n v="0"/>
    <n v="5"/>
    <n v="1"/>
    <n v="1"/>
    <n v="0"/>
    <n v="0"/>
    <n v="0"/>
    <s v="无"/>
    <n v="1"/>
  </r>
  <r>
    <x v="227"/>
    <x v="2"/>
    <x v="2"/>
    <s v="CQ01"/>
    <d v="2026-08-10T13:00:00"/>
    <d v="2026-08-10T15:18:00"/>
    <d v="2026-08-11T12:00:00"/>
    <d v="2026-08-11T13:47:00"/>
    <d v="2026-08-11T15:00:00"/>
    <d v="2026-08-11T15:28:00"/>
    <s v="已完工"/>
    <s v="上门超时"/>
    <d v="2026-08-11T12:00:00"/>
    <m/>
    <n v="0"/>
    <n v="4"/>
    <n v="0"/>
    <n v="0"/>
    <n v="1"/>
    <n v="0"/>
    <n v="1"/>
    <s v="上门超时"/>
    <n v="1"/>
  </r>
  <r>
    <x v="228"/>
    <x v="2"/>
    <x v="1"/>
    <s v="CQ01"/>
    <d v="2026-08-10T13:20:00"/>
    <d v="2026-08-10T14:52:00"/>
    <d v="2026-08-12T15:00:00"/>
    <d v="2026-08-12T13:51:00"/>
    <d v="2026-08-12T19:00:00"/>
    <d v="2026-08-12T20:09:00"/>
    <s v="已完工"/>
    <s v="完工超时"/>
    <d v="2026-08-12T19:00:00"/>
    <m/>
    <n v="0"/>
    <n v="2"/>
    <n v="1"/>
    <n v="0"/>
    <n v="1"/>
    <n v="0"/>
    <n v="1"/>
    <s v="完工超时"/>
    <n v="1"/>
  </r>
  <r>
    <x v="229"/>
    <x v="2"/>
    <x v="1"/>
    <s v="CQ02"/>
    <d v="2026-08-10T15:10:00"/>
    <d v="2026-08-10T17:46:00"/>
    <d v="2026-08-12T10:00:00"/>
    <d v="2026-08-12T09:14:00"/>
    <d v="2026-08-12T14:00:00"/>
    <d v="2026-08-12T10:30:00"/>
    <s v="已完工"/>
    <s v="无"/>
    <m/>
    <m/>
    <n v="0"/>
    <n v="4"/>
    <n v="1"/>
    <n v="1"/>
    <n v="0"/>
    <n v="0"/>
    <n v="0"/>
    <s v="无"/>
    <n v="1"/>
  </r>
  <r>
    <x v="230"/>
    <x v="0"/>
    <x v="0"/>
    <s v="BJ02"/>
    <d v="2026-08-10T15:25:00"/>
    <d v="2026-08-10T18:44:00"/>
    <d v="2026-08-11T12:00:00"/>
    <d v="2026-08-11T11:20:00"/>
    <d v="2026-08-11T17:00:00"/>
    <d v="2026-08-11T17:39:00"/>
    <s v="已完工"/>
    <s v="完工超时"/>
    <d v="2026-08-11T17:00:00"/>
    <d v="2026-08-11T20:39:00"/>
    <n v="0"/>
    <n v="4"/>
    <n v="1"/>
    <n v="0"/>
    <n v="1"/>
    <n v="1"/>
    <n v="0"/>
    <s v="完工超时"/>
    <n v="1"/>
  </r>
  <r>
    <x v="231"/>
    <x v="0"/>
    <x v="1"/>
    <s v="BJ02"/>
    <d v="2026-08-10T17:10:00"/>
    <d v="2026-08-10T19:31:00"/>
    <d v="2026-08-11T15:00:00"/>
    <d v="2026-08-11T14:26:00"/>
    <d v="2026-08-11T19:00:00"/>
    <d v="2026-08-11T16:15:00"/>
    <s v="已完工"/>
    <s v="无"/>
    <m/>
    <m/>
    <n v="0"/>
    <n v="4"/>
    <n v="1"/>
    <n v="1"/>
    <n v="0"/>
    <n v="0"/>
    <n v="0"/>
    <s v="无"/>
    <n v="1"/>
  </r>
  <r>
    <x v="232"/>
    <x v="0"/>
    <x v="0"/>
    <s v="BJ02"/>
    <d v="2026-08-10T17:55:00"/>
    <d v="2026-08-10T18:33:00"/>
    <d v="2026-08-12T15:00:00"/>
    <d v="2026-08-12T14:50:00"/>
    <d v="2026-08-12T20:00:00"/>
    <d v="2026-08-12T16:49:00"/>
    <s v="已完工"/>
    <s v="无"/>
    <m/>
    <m/>
    <n v="0"/>
    <n v="5"/>
    <n v="1"/>
    <n v="1"/>
    <n v="0"/>
    <n v="0"/>
    <n v="0"/>
    <s v="无"/>
    <n v="1"/>
  </r>
  <r>
    <x v="233"/>
    <x v="0"/>
    <x v="1"/>
    <s v="BJ02"/>
    <d v="2026-08-10T18:20:00"/>
    <d v="2026-08-10T20:43:00"/>
    <d v="2026-08-11T10:00:00"/>
    <d v="2026-08-11T08:53:00"/>
    <d v="2026-08-11T14:00:00"/>
    <d v="2026-08-11T10:06:00"/>
    <s v="已完工"/>
    <s v="无"/>
    <m/>
    <m/>
    <n v="0"/>
    <n v="4"/>
    <n v="1"/>
    <n v="1"/>
    <n v="0"/>
    <n v="0"/>
    <n v="0"/>
    <s v="无"/>
    <n v="1"/>
  </r>
  <r>
    <x v="234"/>
    <x v="1"/>
    <x v="0"/>
    <s v="WH01"/>
    <d v="2026-08-10T18:30:00"/>
    <d v="2026-08-10T20:02:00"/>
    <d v="2026-08-11T10:00:00"/>
    <d v="2026-08-11T08:58:00"/>
    <d v="2026-08-11T15:00:00"/>
    <d v="2026-08-11T11:17:00"/>
    <s v="已完工"/>
    <s v="无"/>
    <m/>
    <m/>
    <n v="0"/>
    <n v="4"/>
    <n v="1"/>
    <n v="1"/>
    <n v="0"/>
    <n v="0"/>
    <n v="0"/>
    <s v="无"/>
    <n v="1"/>
  </r>
  <r>
    <x v="235"/>
    <x v="2"/>
    <x v="1"/>
    <s v="CQ02"/>
    <d v="2026-08-11T09:00:00"/>
    <d v="2026-08-11T11:30:00"/>
    <d v="2026-08-12T17:00:00"/>
    <d v="2026-08-12T16:39:00"/>
    <d v="2026-08-12T21:00:00"/>
    <d v="2026-08-12T18:43:00"/>
    <s v="已完工"/>
    <s v="无"/>
    <m/>
    <m/>
    <n v="0"/>
    <n v="4"/>
    <n v="1"/>
    <n v="1"/>
    <n v="0"/>
    <n v="0"/>
    <n v="0"/>
    <s v="无"/>
    <n v="1"/>
  </r>
  <r>
    <x v="236"/>
    <x v="0"/>
    <x v="0"/>
    <s v="BJ02"/>
    <d v="2026-08-11T09:55:00"/>
    <d v="2026-08-11T12:55:00"/>
    <d v="2026-08-13T15:00:00"/>
    <d v="2026-08-13T16:31:00"/>
    <d v="2026-08-13T20:00:00"/>
    <d v="2026-08-13T18:17:00"/>
    <s v="已完工"/>
    <s v="上门超时"/>
    <d v="2026-08-13T15:00:00"/>
    <d v="2026-08-13T23:23:00"/>
    <n v="1"/>
    <n v="2"/>
    <n v="0"/>
    <n v="1"/>
    <n v="1"/>
    <n v="1"/>
    <n v="0"/>
    <s v="上门超时"/>
    <n v="1"/>
  </r>
  <r>
    <x v="237"/>
    <x v="0"/>
    <x v="0"/>
    <s v="BJ02"/>
    <d v="2026-08-11T10:15:00"/>
    <d v="2026-08-13T12:54:00"/>
    <d v="2026-08-13T12:00:00"/>
    <d v="2026-08-13T14:40:00"/>
    <d v="2026-08-13T17:00:00"/>
    <d v="2026-08-13T16:52:00"/>
    <s v="已完工"/>
    <s v="派单超时"/>
    <d v="2026-08-13T12:00:00"/>
    <d v="2026-08-13T20:56:00"/>
    <n v="0"/>
    <n v="2"/>
    <n v="0"/>
    <n v="1"/>
    <n v="1"/>
    <n v="1"/>
    <n v="0"/>
    <s v="派单超时"/>
    <n v="1"/>
  </r>
  <r>
    <x v="238"/>
    <x v="2"/>
    <x v="2"/>
    <s v="CQ02"/>
    <d v="2026-08-11T11:35:00"/>
    <d v="2026-08-11T13:19:00"/>
    <d v="2026-08-12T10:00:00"/>
    <d v="2026-08-12T09:04:00"/>
    <d v="2026-08-12T13:00:00"/>
    <d v="2026-08-12T13:54:00"/>
    <s v="已完工"/>
    <s v="完工超时"/>
    <d v="2026-08-12T13:00:00"/>
    <d v="2026-08-12T15:21:00"/>
    <n v="0"/>
    <n v="3"/>
    <n v="1"/>
    <n v="0"/>
    <n v="1"/>
    <n v="1"/>
    <n v="0"/>
    <s v="完工超时"/>
    <n v="1"/>
  </r>
  <r>
    <x v="239"/>
    <x v="1"/>
    <x v="0"/>
    <s v="WH01"/>
    <d v="2026-08-11T11:50:00"/>
    <d v="2026-08-11T13:08:00"/>
    <d v="2026-08-12T10:00:00"/>
    <d v="2026-08-12T10:49:00"/>
    <d v="2026-08-12T15:00:00"/>
    <d v="2026-08-12T12:29:00"/>
    <s v="已完工"/>
    <s v="上门超时"/>
    <d v="2026-08-12T10:00:00"/>
    <m/>
    <n v="0"/>
    <m/>
    <n v="0"/>
    <n v="1"/>
    <n v="1"/>
    <n v="0"/>
    <n v="1"/>
    <s v="上门超时"/>
    <n v="1"/>
  </r>
  <r>
    <x v="240"/>
    <x v="1"/>
    <x v="0"/>
    <s v="WH01"/>
    <d v="2026-08-11T11:55:00"/>
    <d v="2026-08-11T12:28:00"/>
    <d v="2026-08-12T12:00:00"/>
    <d v="2026-08-12T10:49:00"/>
    <d v="2026-08-12T17:00:00"/>
    <d v="2026-08-12T12:40:00"/>
    <s v="已完工"/>
    <s v="无"/>
    <m/>
    <m/>
    <n v="0"/>
    <n v="4"/>
    <n v="1"/>
    <n v="1"/>
    <n v="0"/>
    <n v="0"/>
    <n v="0"/>
    <s v="无"/>
    <n v="1"/>
  </r>
  <r>
    <x v="241"/>
    <x v="2"/>
    <x v="1"/>
    <s v="CQ01"/>
    <d v="2026-08-11T12:05:00"/>
    <d v="2026-08-11T15:03:00"/>
    <d v="2026-08-13T15:00:00"/>
    <m/>
    <d v="2026-08-13T19:00:00"/>
    <m/>
    <s v="未完工"/>
    <s v="上门超时"/>
    <d v="2026-08-13T15:00:00"/>
    <m/>
    <n v="1"/>
    <m/>
    <n v="0"/>
    <n v="0"/>
    <n v="1"/>
    <n v="0"/>
    <n v="1"/>
    <s v="上门超时"/>
    <n v="1"/>
  </r>
  <r>
    <x v="242"/>
    <x v="0"/>
    <x v="2"/>
    <s v="BJ02"/>
    <d v="2026-08-11T12:30:00"/>
    <d v="2026-08-11T13:38:00"/>
    <d v="2026-08-12T15:00:00"/>
    <d v="2026-08-12T14:20:00"/>
    <d v="2026-08-12T18:00:00"/>
    <d v="2026-08-12T15:34:00"/>
    <s v="已完工"/>
    <s v="无"/>
    <m/>
    <m/>
    <n v="0"/>
    <n v="3"/>
    <n v="1"/>
    <n v="1"/>
    <n v="0"/>
    <n v="0"/>
    <n v="0"/>
    <s v="无"/>
    <n v="1"/>
  </r>
  <r>
    <x v="243"/>
    <x v="0"/>
    <x v="1"/>
    <s v="BJ02"/>
    <d v="2026-08-11T12:55:00"/>
    <d v="2026-08-11T14:48:00"/>
    <d v="2026-08-12T10:00:00"/>
    <d v="2026-08-12T09:13:00"/>
    <d v="2026-08-12T14:00:00"/>
    <d v="2026-08-12T10:52:00"/>
    <s v="已完工"/>
    <s v="无"/>
    <m/>
    <m/>
    <n v="0"/>
    <n v="5"/>
    <n v="1"/>
    <n v="1"/>
    <n v="0"/>
    <n v="0"/>
    <n v="0"/>
    <s v="无"/>
    <n v="1"/>
  </r>
  <r>
    <x v="244"/>
    <x v="0"/>
    <x v="0"/>
    <s v="BJ02"/>
    <d v="2026-08-11T13:25:00"/>
    <d v="2026-08-11T14:27:00"/>
    <d v="2026-08-13T17:00:00"/>
    <d v="2026-08-13T16:06:00"/>
    <d v="2026-08-13T22:00:00"/>
    <d v="2026-08-13T18:08:00"/>
    <s v="已完工"/>
    <s v="无"/>
    <m/>
    <m/>
    <n v="0"/>
    <n v="5"/>
    <n v="1"/>
    <n v="1"/>
    <n v="0"/>
    <n v="0"/>
    <n v="0"/>
    <s v="无"/>
    <n v="1"/>
  </r>
  <r>
    <x v="245"/>
    <x v="2"/>
    <x v="1"/>
    <s v="CQ02"/>
    <d v="2026-08-11T14:00:00"/>
    <d v="2026-08-11T15:54:00"/>
    <d v="2026-08-12T17:00:00"/>
    <d v="2026-08-12T18:41:00"/>
    <d v="2026-08-12T21:00:00"/>
    <d v="2026-08-12T19:37:00"/>
    <s v="已完工"/>
    <s v="上门超时"/>
    <d v="2026-08-12T17:00:00"/>
    <d v="2026-08-12T21:18:00"/>
    <n v="0"/>
    <n v="3"/>
    <n v="0"/>
    <n v="1"/>
    <n v="1"/>
    <n v="1"/>
    <n v="0"/>
    <s v="上门超时"/>
    <n v="1"/>
  </r>
  <r>
    <x v="246"/>
    <x v="1"/>
    <x v="0"/>
    <s v="WH02"/>
    <d v="2026-08-11T14:00:00"/>
    <d v="2026-08-11T16:23:00"/>
    <d v="2026-08-13T10:00:00"/>
    <d v="2026-08-13T09:04:00"/>
    <d v="2026-08-13T15:00:00"/>
    <d v="2026-08-13T10:24:00"/>
    <s v="已完工"/>
    <s v="无"/>
    <m/>
    <m/>
    <n v="0"/>
    <n v="5"/>
    <n v="1"/>
    <n v="1"/>
    <n v="0"/>
    <n v="0"/>
    <n v="0"/>
    <s v="无"/>
    <n v="1"/>
  </r>
  <r>
    <x v="247"/>
    <x v="0"/>
    <x v="2"/>
    <s v="BJ02"/>
    <d v="2026-08-11T14:40:00"/>
    <d v="2026-08-11T16:57:00"/>
    <d v="2026-08-13T10:00:00"/>
    <d v="2026-08-13T09:34:00"/>
    <d v="2026-08-13T13:00:00"/>
    <d v="2026-08-13T11:38:00"/>
    <s v="已完工"/>
    <s v="无"/>
    <m/>
    <m/>
    <n v="0"/>
    <n v="4"/>
    <n v="1"/>
    <n v="1"/>
    <n v="0"/>
    <n v="0"/>
    <n v="0"/>
    <s v="无"/>
    <n v="1"/>
  </r>
  <r>
    <x v="248"/>
    <x v="1"/>
    <x v="1"/>
    <s v="WH01"/>
    <d v="2026-08-11T15:55:00"/>
    <m/>
    <d v="2026-08-12T15:00:00"/>
    <m/>
    <d v="2026-08-12T19:00:00"/>
    <m/>
    <s v="未完工"/>
    <s v="派单超时"/>
    <d v="2026-08-12T15:00:00"/>
    <m/>
    <n v="0"/>
    <m/>
    <n v="0"/>
    <n v="0"/>
    <n v="1"/>
    <n v="0"/>
    <n v="1"/>
    <s v="派单超时"/>
    <n v="1"/>
  </r>
  <r>
    <x v="249"/>
    <x v="2"/>
    <x v="1"/>
    <s v="CQ02"/>
    <d v="2026-08-11T16:05:00"/>
    <d v="2026-08-11T17:02:00"/>
    <d v="2026-08-12T15:00:00"/>
    <d v="2026-08-12T13:50:00"/>
    <d v="2026-08-12T19:00:00"/>
    <d v="2026-08-12T16:02:00"/>
    <s v="已完工"/>
    <s v="无"/>
    <m/>
    <m/>
    <n v="0"/>
    <n v="4"/>
    <n v="1"/>
    <n v="1"/>
    <n v="0"/>
    <n v="0"/>
    <n v="0"/>
    <s v="无"/>
    <n v="1"/>
  </r>
  <r>
    <x v="250"/>
    <x v="0"/>
    <x v="2"/>
    <s v="BJ02"/>
    <d v="2026-08-11T16:25:00"/>
    <d v="2026-08-11T18:33:00"/>
    <d v="2026-08-12T17:00:00"/>
    <d v="2026-08-12T16:39:00"/>
    <d v="2026-08-12T20:00:00"/>
    <d v="2026-08-12T18:40:00"/>
    <s v="已完工"/>
    <s v="无"/>
    <m/>
    <m/>
    <n v="0"/>
    <m/>
    <n v="1"/>
    <n v="1"/>
    <n v="0"/>
    <n v="0"/>
    <n v="0"/>
    <s v="无"/>
    <n v="1"/>
  </r>
  <r>
    <x v="251"/>
    <x v="2"/>
    <x v="0"/>
    <s v="CQ01"/>
    <d v="2026-08-11T17:00:00"/>
    <d v="2026-08-11T20:42:00"/>
    <d v="2026-08-13T17:00:00"/>
    <d v="2026-08-13T16:19:00"/>
    <d v="2026-08-13T22:00:00"/>
    <d v="2026-08-13T18:19:00"/>
    <s v="已完工"/>
    <s v="无"/>
    <m/>
    <m/>
    <n v="0"/>
    <n v="4"/>
    <n v="1"/>
    <n v="1"/>
    <n v="0"/>
    <n v="0"/>
    <n v="0"/>
    <s v="无"/>
    <n v="1"/>
  </r>
  <r>
    <x v="252"/>
    <x v="0"/>
    <x v="1"/>
    <s v="BJ02"/>
    <d v="2026-08-11T17:20:00"/>
    <d v="2026-08-11T20:39:00"/>
    <d v="2026-08-13T15:00:00"/>
    <d v="2026-08-13T13:51:00"/>
    <d v="2026-08-13T19:00:00"/>
    <d v="2026-08-13T14:46:00"/>
    <s v="已完工"/>
    <s v="无"/>
    <m/>
    <m/>
    <n v="0"/>
    <n v="5"/>
    <n v="1"/>
    <n v="1"/>
    <n v="0"/>
    <n v="0"/>
    <n v="0"/>
    <s v="无"/>
    <n v="1"/>
  </r>
  <r>
    <x v="253"/>
    <x v="2"/>
    <x v="0"/>
    <s v="CQ01"/>
    <d v="2026-08-11T17:25:00"/>
    <d v="2026-08-11T20:26:00"/>
    <d v="2026-08-13T15:00:00"/>
    <d v="2026-08-13T16:06:00"/>
    <d v="2026-08-13T20:00:00"/>
    <d v="2026-08-13T18:25:00"/>
    <s v="已完工"/>
    <s v="上门超时"/>
    <d v="2026-08-13T15:00:00"/>
    <d v="2026-08-13T20:49:00"/>
    <n v="0"/>
    <m/>
    <n v="0"/>
    <n v="1"/>
    <n v="1"/>
    <n v="1"/>
    <n v="0"/>
    <s v="上门超时"/>
    <n v="1"/>
  </r>
  <r>
    <x v="254"/>
    <x v="0"/>
    <x v="0"/>
    <s v="BJ02"/>
    <d v="2026-08-11T17:45:00"/>
    <d v="2026-08-11T20:02:00"/>
    <d v="2026-08-12T10:00:00"/>
    <d v="2026-08-12T09:04:00"/>
    <d v="2026-08-12T15:00:00"/>
    <d v="2026-08-12T11:20:00"/>
    <s v="已完工"/>
    <s v="无"/>
    <m/>
    <m/>
    <n v="1"/>
    <n v="2"/>
    <n v="1"/>
    <n v="1"/>
    <n v="0"/>
    <n v="0"/>
    <n v="0"/>
    <s v="无"/>
    <n v="1"/>
  </r>
  <r>
    <x v="255"/>
    <x v="2"/>
    <x v="1"/>
    <s v="CQ02"/>
    <d v="2026-08-11T18:05:00"/>
    <d v="2026-08-11T19:12:00"/>
    <d v="2026-08-14T10:00:00"/>
    <d v="2026-08-14T09:27:00"/>
    <d v="2026-08-14T14:00:00"/>
    <d v="2026-08-14T10:35:00"/>
    <s v="已完工"/>
    <s v="无"/>
    <m/>
    <m/>
    <n v="0"/>
    <n v="4"/>
    <n v="1"/>
    <n v="1"/>
    <n v="0"/>
    <n v="0"/>
    <n v="0"/>
    <s v="无"/>
    <n v="1"/>
  </r>
  <r>
    <x v="256"/>
    <x v="0"/>
    <x v="2"/>
    <s v="BJ01"/>
    <d v="2026-08-11T18:45:00"/>
    <d v="2026-08-11T22:44:00"/>
    <d v="2026-08-12T17:00:00"/>
    <d v="2026-08-12T16:23:00"/>
    <d v="2026-08-12T20:00:00"/>
    <d v="2026-08-12T18:40:00"/>
    <s v="已完工"/>
    <s v="无"/>
    <m/>
    <m/>
    <n v="0"/>
    <n v="5"/>
    <n v="1"/>
    <n v="1"/>
    <n v="0"/>
    <n v="0"/>
    <n v="0"/>
    <s v="无"/>
    <n v="1"/>
  </r>
  <r>
    <x v="257"/>
    <x v="1"/>
    <x v="0"/>
    <s v="WH02"/>
    <d v="2026-08-12T08:00:00"/>
    <d v="2026-08-12T09:07:00"/>
    <d v="2026-08-13T15:00:00"/>
    <d v="2026-08-13T13:54:00"/>
    <d v="2026-08-13T20:00:00"/>
    <d v="2026-08-13T21:03:00"/>
    <s v="已完工"/>
    <s v="完工超时"/>
    <d v="2026-08-13T20:00:00"/>
    <d v="2026-08-14T00:02:00"/>
    <n v="0"/>
    <n v="3"/>
    <n v="1"/>
    <n v="0"/>
    <n v="1"/>
    <n v="1"/>
    <n v="0"/>
    <s v="完工超时"/>
    <n v="1"/>
  </r>
  <r>
    <x v="258"/>
    <x v="0"/>
    <x v="1"/>
    <s v="BJ01"/>
    <d v="2026-08-12T09:05:00"/>
    <d v="2026-08-12T12:36:00"/>
    <d v="2026-08-13T12:00:00"/>
    <d v="2026-08-13T11:16:00"/>
    <d v="2026-08-13T16:00:00"/>
    <d v="2026-08-13T13:14:00"/>
    <s v="已完工"/>
    <s v="无"/>
    <m/>
    <m/>
    <n v="0"/>
    <m/>
    <n v="1"/>
    <n v="1"/>
    <n v="0"/>
    <n v="0"/>
    <n v="0"/>
    <s v="无"/>
    <n v="1"/>
  </r>
  <r>
    <x v="259"/>
    <x v="2"/>
    <x v="1"/>
    <s v="CQ01"/>
    <d v="2026-08-12T09:50:00"/>
    <d v="2026-08-12T12:02:00"/>
    <d v="2026-08-13T17:00:00"/>
    <d v="2026-08-13T16:18:00"/>
    <d v="2026-08-13T21:00:00"/>
    <d v="2026-08-13T18:22:00"/>
    <s v="已完工"/>
    <s v="无"/>
    <m/>
    <m/>
    <n v="0"/>
    <n v="3"/>
    <n v="1"/>
    <n v="1"/>
    <n v="0"/>
    <n v="0"/>
    <n v="0"/>
    <s v="无"/>
    <n v="1"/>
  </r>
  <r>
    <x v="260"/>
    <x v="0"/>
    <x v="0"/>
    <s v="BJ01"/>
    <d v="2026-08-12T10:05:00"/>
    <d v="2026-08-12T13:29:00"/>
    <d v="2026-08-13T12:00:00"/>
    <d v="2026-08-13T11:49:00"/>
    <d v="2026-08-13T17:00:00"/>
    <d v="2026-08-13T13:42:00"/>
    <s v="已完工"/>
    <s v="无"/>
    <m/>
    <m/>
    <n v="0"/>
    <n v="4"/>
    <n v="1"/>
    <n v="1"/>
    <n v="0"/>
    <n v="0"/>
    <n v="0"/>
    <s v="无"/>
    <n v="1"/>
  </r>
  <r>
    <x v="261"/>
    <x v="1"/>
    <x v="0"/>
    <s v="WH01"/>
    <d v="2026-08-12T10:15:00"/>
    <d v="2026-08-12T10:58:00"/>
    <d v="2026-08-13T15:00:00"/>
    <d v="2026-08-13T13:56:00"/>
    <d v="2026-08-13T20:00:00"/>
    <d v="2026-08-13T16:01:00"/>
    <s v="已完工"/>
    <s v="无"/>
    <m/>
    <m/>
    <n v="0"/>
    <m/>
    <n v="1"/>
    <n v="1"/>
    <n v="0"/>
    <n v="0"/>
    <n v="0"/>
    <s v="无"/>
    <n v="1"/>
  </r>
  <r>
    <x v="262"/>
    <x v="1"/>
    <x v="1"/>
    <s v="WH01"/>
    <d v="2026-08-12T11:25:00"/>
    <d v="2026-08-12T13:54:00"/>
    <d v="2026-08-13T10:00:00"/>
    <d v="2026-08-13T09:27:00"/>
    <d v="2026-08-13T14:00:00"/>
    <d v="2026-08-13T11:48:00"/>
    <s v="已完工"/>
    <s v="无"/>
    <m/>
    <m/>
    <n v="0"/>
    <n v="4"/>
    <n v="1"/>
    <n v="1"/>
    <n v="0"/>
    <n v="0"/>
    <n v="0"/>
    <s v="无"/>
    <n v="1"/>
  </r>
  <r>
    <x v="263"/>
    <x v="0"/>
    <x v="1"/>
    <s v="BJ01"/>
    <d v="2026-08-12T13:05:00"/>
    <d v="2026-08-12T16:11:00"/>
    <d v="2026-08-13T15:00:00"/>
    <d v="2026-08-13T14:08:00"/>
    <d v="2026-08-13T19:00:00"/>
    <d v="2026-08-13T16:19:00"/>
    <s v="已完工"/>
    <s v="无"/>
    <m/>
    <m/>
    <n v="0"/>
    <n v="3"/>
    <n v="1"/>
    <n v="1"/>
    <n v="0"/>
    <n v="0"/>
    <n v="0"/>
    <s v="无"/>
    <n v="1"/>
  </r>
  <r>
    <x v="264"/>
    <x v="0"/>
    <x v="2"/>
    <s v="BJ02"/>
    <d v="2026-08-12T14:00:00"/>
    <d v="2026-08-12T15:23:00"/>
    <d v="2026-08-13T15:00:00"/>
    <d v="2026-08-13T14:40:00"/>
    <d v="2026-08-13T18:00:00"/>
    <d v="2026-08-13T16:51:00"/>
    <s v="已完工"/>
    <s v="无"/>
    <m/>
    <m/>
    <n v="0"/>
    <n v="5"/>
    <n v="1"/>
    <n v="1"/>
    <n v="0"/>
    <n v="0"/>
    <n v="0"/>
    <s v="无"/>
    <n v="1"/>
  </r>
  <r>
    <x v="265"/>
    <x v="2"/>
    <x v="1"/>
    <s v="CQ02"/>
    <d v="2026-08-12T14:55:00"/>
    <d v="2026-08-13T15:58:00"/>
    <d v="2026-08-13T15:00:00"/>
    <d v="2026-08-13T17:32:00"/>
    <d v="2026-08-13T19:00:00"/>
    <d v="2026-08-13T19:06:00"/>
    <s v="已完工"/>
    <s v="派单超时"/>
    <d v="2026-08-13T15:00:00"/>
    <d v="2026-08-13T22:05:00"/>
    <n v="0"/>
    <m/>
    <n v="0"/>
    <n v="0"/>
    <n v="1"/>
    <n v="1"/>
    <n v="0"/>
    <s v="派单超时"/>
    <n v="1"/>
  </r>
  <r>
    <x v="266"/>
    <x v="0"/>
    <x v="0"/>
    <s v="BJ01"/>
    <d v="2026-08-12T15:40:00"/>
    <d v="2026-08-12T17:31:00"/>
    <d v="2026-08-13T10:00:00"/>
    <d v="2026-08-13T08:48:00"/>
    <d v="2026-08-13T15:00:00"/>
    <d v="2026-08-13T09:47:00"/>
    <s v="已完工"/>
    <s v="无"/>
    <m/>
    <m/>
    <n v="0"/>
    <n v="5"/>
    <n v="1"/>
    <n v="1"/>
    <n v="0"/>
    <n v="0"/>
    <n v="0"/>
    <s v="无"/>
    <n v="1"/>
  </r>
  <r>
    <x v="267"/>
    <x v="0"/>
    <x v="0"/>
    <s v="BJ01"/>
    <d v="2026-08-12T16:25:00"/>
    <d v="2026-08-12T20:11:00"/>
    <d v="2026-08-13T15:00:00"/>
    <d v="2026-08-13T14:16:00"/>
    <d v="2026-08-13T20:00:00"/>
    <d v="2026-08-13T15:58:00"/>
    <s v="已完工"/>
    <s v="无"/>
    <m/>
    <m/>
    <n v="0"/>
    <n v="5"/>
    <n v="1"/>
    <n v="1"/>
    <n v="0"/>
    <n v="0"/>
    <n v="0"/>
    <s v="无"/>
    <n v="1"/>
  </r>
  <r>
    <x v="268"/>
    <x v="2"/>
    <x v="1"/>
    <s v="CQ01"/>
    <d v="2026-08-12T16:30:00"/>
    <m/>
    <d v="2026-08-15T10:00:00"/>
    <m/>
    <d v="2026-08-15T14:00:00"/>
    <m/>
    <s v="未完工"/>
    <s v="派单超时"/>
    <d v="2026-08-15T10:00:00"/>
    <m/>
    <n v="0"/>
    <m/>
    <n v="0"/>
    <n v="0"/>
    <n v="1"/>
    <n v="0"/>
    <n v="1"/>
    <s v="派单超时"/>
    <n v="1"/>
  </r>
  <r>
    <x v="269"/>
    <x v="0"/>
    <x v="0"/>
    <s v="BJ02"/>
    <d v="2026-08-12T16:35:00"/>
    <d v="2026-08-12T20:16:00"/>
    <d v="2026-08-13T10:00:00"/>
    <d v="2026-08-13T09:15:00"/>
    <d v="2026-08-13T15:00:00"/>
    <d v="2026-08-13T10:55:00"/>
    <s v="已完工"/>
    <s v="无"/>
    <m/>
    <m/>
    <n v="0"/>
    <n v="5"/>
    <n v="1"/>
    <n v="1"/>
    <n v="0"/>
    <n v="0"/>
    <n v="0"/>
    <s v="无"/>
    <n v="1"/>
  </r>
  <r>
    <x v="270"/>
    <x v="2"/>
    <x v="0"/>
    <s v="CQ01"/>
    <d v="2026-08-12T16:40:00"/>
    <d v="2026-08-12T18:45:00"/>
    <d v="2026-08-14T15:00:00"/>
    <d v="2026-08-14T14:02:00"/>
    <d v="2026-08-14T20:00:00"/>
    <d v="2026-08-14T15:29:00"/>
    <s v="已完工"/>
    <s v="无"/>
    <m/>
    <m/>
    <n v="0"/>
    <n v="4"/>
    <n v="1"/>
    <n v="1"/>
    <n v="0"/>
    <n v="0"/>
    <n v="0"/>
    <s v="无"/>
    <n v="1"/>
  </r>
  <r>
    <x v="271"/>
    <x v="1"/>
    <x v="1"/>
    <s v="WH01"/>
    <d v="2026-08-12T16:45:00"/>
    <d v="2026-08-12T17:46:00"/>
    <d v="2026-08-13T10:00:00"/>
    <d v="2026-08-13T08:56:00"/>
    <d v="2026-08-13T14:00:00"/>
    <d v="2026-08-13T10:41:00"/>
    <s v="已完工"/>
    <s v="无"/>
    <m/>
    <m/>
    <n v="0"/>
    <m/>
    <n v="1"/>
    <n v="1"/>
    <n v="0"/>
    <n v="0"/>
    <n v="0"/>
    <s v="无"/>
    <n v="1"/>
  </r>
  <r>
    <x v="272"/>
    <x v="1"/>
    <x v="1"/>
    <s v="WH01"/>
    <d v="2026-08-12T17:40:00"/>
    <d v="2026-08-15T11:00:00"/>
    <d v="2026-08-15T10:00:00"/>
    <d v="2026-08-15T12:46:00"/>
    <d v="2026-08-15T14:00:00"/>
    <d v="2026-08-15T15:06:00"/>
    <s v="已完工"/>
    <s v="派单超时"/>
    <d v="2026-08-15T10:00:00"/>
    <m/>
    <n v="0"/>
    <n v="4"/>
    <n v="0"/>
    <n v="0"/>
    <n v="1"/>
    <n v="0"/>
    <n v="1"/>
    <s v="派单超时"/>
    <n v="1"/>
  </r>
  <r>
    <x v="273"/>
    <x v="0"/>
    <x v="1"/>
    <s v="BJ02"/>
    <d v="2026-08-12T18:15:00"/>
    <d v="2026-08-12T21:04:00"/>
    <d v="2026-08-14T15:00:00"/>
    <d v="2026-08-14T14:12:00"/>
    <d v="2026-08-14T19:00:00"/>
    <d v="2026-08-14T15:25:00"/>
    <s v="已完工"/>
    <s v="无"/>
    <m/>
    <m/>
    <n v="0"/>
    <n v="4"/>
    <n v="1"/>
    <n v="1"/>
    <n v="0"/>
    <n v="0"/>
    <n v="0"/>
    <s v="无"/>
    <n v="1"/>
  </r>
  <r>
    <x v="274"/>
    <x v="1"/>
    <x v="1"/>
    <s v="WH01"/>
    <d v="2026-08-12T18:55:00"/>
    <d v="2026-08-12T22:27:00"/>
    <d v="2026-08-15T17:00:00"/>
    <d v="2026-08-15T16:08:00"/>
    <d v="2026-08-15T21:00:00"/>
    <d v="2026-08-15T17:32:00"/>
    <s v="已完工"/>
    <s v="无"/>
    <m/>
    <m/>
    <n v="0"/>
    <n v="5"/>
    <n v="1"/>
    <n v="1"/>
    <n v="0"/>
    <n v="0"/>
    <n v="0"/>
    <s v="无"/>
    <n v="1"/>
  </r>
  <r>
    <x v="275"/>
    <x v="1"/>
    <x v="2"/>
    <s v="WH01"/>
    <d v="2026-08-12T18:55:00"/>
    <d v="2026-08-12T21:50:00"/>
    <d v="2026-08-14T17:00:00"/>
    <d v="2026-08-14T18:38:00"/>
    <d v="2026-08-14T20:00:00"/>
    <d v="2026-08-14T20:22:00"/>
    <s v="已完工"/>
    <s v="上门超时"/>
    <d v="2026-08-14T17:00:00"/>
    <m/>
    <n v="0"/>
    <m/>
    <n v="0"/>
    <n v="0"/>
    <n v="1"/>
    <n v="0"/>
    <n v="1"/>
    <s v="上门超时"/>
    <n v="1"/>
  </r>
  <r>
    <x v="276"/>
    <x v="1"/>
    <x v="0"/>
    <s v="WH01"/>
    <d v="2026-08-13T08:10:00"/>
    <d v="2026-08-13T11:48:00"/>
    <d v="2026-08-14T12:00:00"/>
    <d v="2026-08-14T10:54:00"/>
    <d v="2026-08-14T17:00:00"/>
    <d v="2026-08-14T17:46:00"/>
    <s v="已完工"/>
    <s v="完工超时"/>
    <d v="2026-08-14T17:00:00"/>
    <d v="2026-08-14T22:27:00"/>
    <n v="0"/>
    <n v="4"/>
    <n v="1"/>
    <n v="0"/>
    <n v="1"/>
    <n v="1"/>
    <n v="0"/>
    <s v="完工超时"/>
    <n v="1"/>
  </r>
  <r>
    <x v="277"/>
    <x v="0"/>
    <x v="1"/>
    <s v="BJ01"/>
    <d v="2026-08-13T08:20:00"/>
    <d v="2026-08-13T08:59:00"/>
    <d v="2026-08-15T10:00:00"/>
    <d v="2026-08-15T08:48:00"/>
    <d v="2026-08-15T14:00:00"/>
    <d v="2026-08-15T10:33:00"/>
    <s v="已完工"/>
    <s v="无"/>
    <m/>
    <m/>
    <n v="0"/>
    <n v="4"/>
    <n v="1"/>
    <n v="1"/>
    <n v="0"/>
    <n v="0"/>
    <n v="0"/>
    <s v="无"/>
    <n v="1"/>
  </r>
  <r>
    <x v="278"/>
    <x v="1"/>
    <x v="1"/>
    <s v="WH01"/>
    <d v="2026-08-13T08:20:00"/>
    <d v="2026-08-13T11:45:00"/>
    <d v="2026-08-14T12:00:00"/>
    <d v="2026-08-14T10:50:00"/>
    <d v="2026-08-14T16:00:00"/>
    <d v="2026-08-14T11:46:00"/>
    <s v="已完工"/>
    <s v="无"/>
    <m/>
    <m/>
    <n v="0"/>
    <n v="5"/>
    <n v="1"/>
    <n v="1"/>
    <n v="0"/>
    <n v="0"/>
    <n v="0"/>
    <s v="无"/>
    <n v="1"/>
  </r>
  <r>
    <x v="279"/>
    <x v="2"/>
    <x v="1"/>
    <s v="CQ02"/>
    <d v="2026-08-13T08:35:00"/>
    <d v="2026-08-13T09:46:00"/>
    <d v="2026-08-16T15:00:00"/>
    <d v="2026-08-16T14:38:00"/>
    <d v="2026-08-16T19:00:00"/>
    <d v="2026-08-16T17:05:00"/>
    <s v="已完工"/>
    <s v="无"/>
    <m/>
    <m/>
    <n v="0"/>
    <n v="5"/>
    <n v="1"/>
    <n v="1"/>
    <n v="0"/>
    <n v="0"/>
    <n v="0"/>
    <s v="无"/>
    <n v="1"/>
  </r>
  <r>
    <x v="280"/>
    <x v="1"/>
    <x v="0"/>
    <s v="WH01"/>
    <d v="2026-08-13T09:15:00"/>
    <d v="2026-08-13T13:04:00"/>
    <d v="2026-08-15T17:00:00"/>
    <d v="2026-08-15T16:29:00"/>
    <d v="2026-08-15T22:00:00"/>
    <d v="2026-08-15T17:48:00"/>
    <s v="已完工"/>
    <s v="无"/>
    <m/>
    <m/>
    <n v="0"/>
    <n v="4"/>
    <n v="1"/>
    <n v="1"/>
    <n v="0"/>
    <n v="0"/>
    <n v="0"/>
    <s v="无"/>
    <n v="1"/>
  </r>
  <r>
    <x v="281"/>
    <x v="2"/>
    <x v="2"/>
    <s v="CQ01"/>
    <d v="2026-08-13T09:35:00"/>
    <d v="2026-08-13T12:01:00"/>
    <d v="2026-08-15T12:00:00"/>
    <d v="2026-08-15T11:10:00"/>
    <d v="2026-08-15T15:00:00"/>
    <d v="2026-08-15T12:20:00"/>
    <s v="已完工"/>
    <s v="无"/>
    <m/>
    <m/>
    <n v="0"/>
    <n v="4"/>
    <n v="1"/>
    <n v="1"/>
    <n v="0"/>
    <n v="0"/>
    <n v="0"/>
    <s v="无"/>
    <n v="1"/>
  </r>
  <r>
    <x v="282"/>
    <x v="2"/>
    <x v="1"/>
    <s v="CQ01"/>
    <d v="2026-08-13T10:25:00"/>
    <d v="2026-08-14T11:13:00"/>
    <d v="2026-08-14T10:00:00"/>
    <d v="2026-08-14T12:41:00"/>
    <d v="2026-08-14T14:00:00"/>
    <d v="2026-08-14T15:05:00"/>
    <s v="已完工"/>
    <s v="派单超时"/>
    <d v="2026-08-14T10:00:00"/>
    <m/>
    <n v="0"/>
    <m/>
    <n v="0"/>
    <n v="0"/>
    <n v="1"/>
    <n v="0"/>
    <n v="1"/>
    <s v="派单超时"/>
    <n v="1"/>
  </r>
  <r>
    <x v="283"/>
    <x v="1"/>
    <x v="0"/>
    <s v="WH02"/>
    <d v="2026-08-13T10:30:00"/>
    <d v="2026-08-13T13:15:00"/>
    <d v="2026-08-15T10:00:00"/>
    <d v="2026-08-15T10:42:00"/>
    <d v="2026-08-15T15:00:00"/>
    <d v="2026-08-15T11:59:00"/>
    <s v="已完工"/>
    <s v="上门超时"/>
    <d v="2026-08-15T10:00:00"/>
    <m/>
    <n v="0"/>
    <n v="4"/>
    <n v="0"/>
    <n v="1"/>
    <n v="1"/>
    <n v="0"/>
    <n v="1"/>
    <s v="上门超时"/>
    <n v="1"/>
  </r>
  <r>
    <x v="284"/>
    <x v="1"/>
    <x v="1"/>
    <s v="WH01"/>
    <d v="2026-08-13T11:05:00"/>
    <d v="2026-08-13T12:14:00"/>
    <d v="2026-08-15T12:00:00"/>
    <d v="2026-08-15T11:38:00"/>
    <d v="2026-08-15T16:00:00"/>
    <d v="2026-08-15T12:37:00"/>
    <s v="已完工"/>
    <s v="无"/>
    <m/>
    <m/>
    <n v="0"/>
    <m/>
    <n v="1"/>
    <n v="1"/>
    <n v="0"/>
    <n v="0"/>
    <n v="0"/>
    <s v="无"/>
    <n v="1"/>
  </r>
  <r>
    <x v="285"/>
    <x v="0"/>
    <x v="1"/>
    <s v="BJ02"/>
    <d v="2026-08-13T11:10:00"/>
    <d v="2026-08-13T12:00:00"/>
    <d v="2026-08-14T10:00:00"/>
    <d v="2026-08-14T08:50:00"/>
    <d v="2026-08-14T14:00:00"/>
    <d v="2026-08-14T10:21:00"/>
    <s v="已完工"/>
    <s v="无"/>
    <m/>
    <m/>
    <n v="0"/>
    <n v="5"/>
    <n v="1"/>
    <n v="1"/>
    <n v="0"/>
    <n v="0"/>
    <n v="0"/>
    <s v="无"/>
    <n v="1"/>
  </r>
  <r>
    <x v="286"/>
    <x v="2"/>
    <x v="1"/>
    <s v="CQ01"/>
    <d v="2026-08-13T11:20:00"/>
    <d v="2026-08-13T14:49:00"/>
    <d v="2026-08-14T17:00:00"/>
    <d v="2026-08-14T16:23:00"/>
    <d v="2026-08-14T21:00:00"/>
    <d v="2026-08-14T17:57:00"/>
    <s v="已完工"/>
    <s v="无"/>
    <m/>
    <m/>
    <n v="0"/>
    <n v="5"/>
    <n v="1"/>
    <n v="1"/>
    <n v="0"/>
    <n v="0"/>
    <n v="0"/>
    <s v="无"/>
    <n v="1"/>
  </r>
  <r>
    <x v="287"/>
    <x v="1"/>
    <x v="1"/>
    <s v="WH02"/>
    <d v="2026-08-13T11:40:00"/>
    <d v="2026-08-13T13:34:00"/>
    <d v="2026-08-15T17:00:00"/>
    <d v="2026-08-15T15:59:00"/>
    <d v="2026-08-15T21:00:00"/>
    <d v="2026-08-15T16:56:00"/>
    <s v="已完工"/>
    <s v="无"/>
    <m/>
    <m/>
    <n v="0"/>
    <n v="5"/>
    <n v="1"/>
    <n v="1"/>
    <n v="0"/>
    <n v="0"/>
    <n v="0"/>
    <s v="无"/>
    <n v="1"/>
  </r>
  <r>
    <x v="288"/>
    <x v="1"/>
    <x v="1"/>
    <s v="WH02"/>
    <d v="2026-08-13T11:50:00"/>
    <d v="2026-08-13T13:33:00"/>
    <d v="2026-08-14T15:00:00"/>
    <d v="2026-08-14T14:00:00"/>
    <d v="2026-08-14T19:00:00"/>
    <d v="2026-08-14T20:18:00"/>
    <s v="已完工"/>
    <s v="完工超时"/>
    <d v="2026-08-14T19:00:00"/>
    <d v="2026-08-14T23:47:00"/>
    <n v="1"/>
    <m/>
    <n v="1"/>
    <n v="0"/>
    <n v="1"/>
    <n v="1"/>
    <n v="0"/>
    <s v="完工超时"/>
    <n v="1"/>
  </r>
  <r>
    <x v="289"/>
    <x v="0"/>
    <x v="0"/>
    <s v="BJ01"/>
    <d v="2026-08-13T12:00:00"/>
    <d v="2026-08-13T15:34:00"/>
    <d v="2026-08-15T12:00:00"/>
    <m/>
    <d v="2026-08-15T17:00:00"/>
    <m/>
    <s v="未完工"/>
    <s v="上门超时"/>
    <d v="2026-08-15T12:00:00"/>
    <m/>
    <n v="0"/>
    <m/>
    <n v="0"/>
    <n v="0"/>
    <n v="1"/>
    <n v="0"/>
    <n v="1"/>
    <s v="上门超时"/>
    <n v="1"/>
  </r>
  <r>
    <x v="290"/>
    <x v="0"/>
    <x v="1"/>
    <s v="BJ01"/>
    <d v="2026-08-13T12:45:00"/>
    <d v="2026-08-13T15:55:00"/>
    <d v="2026-08-15T15:00:00"/>
    <d v="2026-08-15T14:16:00"/>
    <d v="2026-08-15T19:00:00"/>
    <d v="2026-08-15T15:10:00"/>
    <s v="已完工"/>
    <s v="无"/>
    <m/>
    <m/>
    <n v="0"/>
    <n v="4"/>
    <n v="1"/>
    <n v="1"/>
    <n v="0"/>
    <n v="0"/>
    <n v="0"/>
    <s v="无"/>
    <n v="1"/>
  </r>
  <r>
    <x v="291"/>
    <x v="0"/>
    <x v="0"/>
    <s v="BJ01"/>
    <d v="2026-08-13T13:15:00"/>
    <d v="2026-08-13T13:48:00"/>
    <d v="2026-08-15T15:00:00"/>
    <d v="2026-08-15T14:35:00"/>
    <d v="2026-08-15T20:00:00"/>
    <d v="2026-08-15T15:36:00"/>
    <s v="已完工"/>
    <s v="无"/>
    <m/>
    <m/>
    <n v="0"/>
    <n v="4"/>
    <n v="1"/>
    <n v="1"/>
    <n v="0"/>
    <n v="0"/>
    <n v="0"/>
    <s v="无"/>
    <n v="1"/>
  </r>
  <r>
    <x v="292"/>
    <x v="0"/>
    <x v="1"/>
    <s v="BJ02"/>
    <d v="2026-08-13T13:45:00"/>
    <d v="2026-08-13T14:26:00"/>
    <d v="2026-08-15T10:00:00"/>
    <d v="2026-08-15T11:00:00"/>
    <d v="2026-08-15T14:00:00"/>
    <d v="2026-08-15T13:30:00"/>
    <s v="已完工"/>
    <s v="上门超时"/>
    <d v="2026-08-15T10:00:00"/>
    <d v="2026-08-15T15:31:00"/>
    <n v="0"/>
    <n v="4"/>
    <n v="0"/>
    <n v="1"/>
    <n v="1"/>
    <n v="1"/>
    <n v="0"/>
    <s v="上门超时"/>
    <n v="1"/>
  </r>
  <r>
    <x v="293"/>
    <x v="0"/>
    <x v="1"/>
    <s v="BJ01"/>
    <d v="2026-08-13T14:45:00"/>
    <d v="2026-08-13T15:42:00"/>
    <d v="2026-08-16T15:00:00"/>
    <d v="2026-08-16T13:51:00"/>
    <d v="2026-08-16T19:00:00"/>
    <d v="2026-08-16T16:06:00"/>
    <s v="已完工"/>
    <s v="无"/>
    <m/>
    <m/>
    <n v="0"/>
    <n v="5"/>
    <n v="1"/>
    <n v="1"/>
    <n v="0"/>
    <n v="0"/>
    <n v="0"/>
    <s v="无"/>
    <n v="1"/>
  </r>
  <r>
    <x v="294"/>
    <x v="0"/>
    <x v="1"/>
    <s v="BJ01"/>
    <d v="2026-08-13T15:30:00"/>
    <d v="2026-08-13T17:45:00"/>
    <d v="2026-08-15T15:00:00"/>
    <d v="2026-08-15T14:09:00"/>
    <d v="2026-08-15T19:00:00"/>
    <d v="2026-08-15T15:38:00"/>
    <s v="已完工"/>
    <s v="无"/>
    <m/>
    <m/>
    <n v="0"/>
    <n v="5"/>
    <n v="1"/>
    <n v="1"/>
    <n v="0"/>
    <n v="0"/>
    <n v="0"/>
    <s v="无"/>
    <n v="1"/>
  </r>
  <r>
    <x v="295"/>
    <x v="0"/>
    <x v="1"/>
    <s v="BJ02"/>
    <d v="2026-08-13T15:50:00"/>
    <d v="2026-08-13T17:34:00"/>
    <d v="2026-08-14T15:00:00"/>
    <d v="2026-08-14T14:36:00"/>
    <d v="2026-08-14T19:00:00"/>
    <d v="2026-08-14T16:15:00"/>
    <s v="已完工"/>
    <s v="无"/>
    <m/>
    <m/>
    <n v="0"/>
    <n v="4"/>
    <n v="1"/>
    <n v="1"/>
    <n v="0"/>
    <n v="0"/>
    <n v="0"/>
    <s v="无"/>
    <n v="1"/>
  </r>
  <r>
    <x v="296"/>
    <x v="1"/>
    <x v="0"/>
    <s v="WH02"/>
    <d v="2026-08-13T15:55:00"/>
    <d v="2026-08-13T19:36:00"/>
    <d v="2026-08-14T15:00:00"/>
    <d v="2026-08-14T15:35:00"/>
    <d v="2026-08-14T20:00:00"/>
    <d v="2026-08-14T17:38:00"/>
    <s v="已完工"/>
    <s v="上门超时"/>
    <d v="2026-08-14T15:00:00"/>
    <d v="2026-08-14T18:30:00"/>
    <n v="0"/>
    <n v="3"/>
    <n v="0"/>
    <n v="1"/>
    <n v="1"/>
    <n v="1"/>
    <n v="0"/>
    <s v="上门超时"/>
    <n v="1"/>
  </r>
  <r>
    <x v="297"/>
    <x v="1"/>
    <x v="0"/>
    <s v="WH02"/>
    <d v="2026-08-13T16:10:00"/>
    <d v="2026-08-13T17:10:00"/>
    <d v="2026-08-14T17:00:00"/>
    <d v="2026-08-14T15:46:00"/>
    <d v="2026-08-14T22:00:00"/>
    <d v="2026-08-14T17:44:00"/>
    <s v="已完工"/>
    <s v="无"/>
    <m/>
    <m/>
    <n v="0"/>
    <n v="4"/>
    <n v="1"/>
    <n v="1"/>
    <n v="0"/>
    <n v="0"/>
    <n v="0"/>
    <s v="无"/>
    <n v="1"/>
  </r>
  <r>
    <x v="298"/>
    <x v="0"/>
    <x v="0"/>
    <s v="BJ01"/>
    <d v="2026-08-13T16:25:00"/>
    <d v="2026-08-13T17:29:00"/>
    <d v="2026-08-14T12:00:00"/>
    <d v="2026-08-14T11:18:00"/>
    <d v="2026-08-14T17:00:00"/>
    <d v="2026-08-14T12:18:00"/>
    <s v="已完工"/>
    <s v="无"/>
    <m/>
    <m/>
    <n v="0"/>
    <n v="5"/>
    <n v="1"/>
    <n v="1"/>
    <n v="0"/>
    <n v="0"/>
    <n v="0"/>
    <s v="无"/>
    <n v="1"/>
  </r>
  <r>
    <x v="299"/>
    <x v="0"/>
    <x v="1"/>
    <s v="BJ02"/>
    <d v="2026-08-13T17:30:00"/>
    <d v="2026-08-13T20:48:00"/>
    <d v="2026-08-14T10:00:00"/>
    <d v="2026-08-14T09:21:00"/>
    <d v="2026-08-14T14:00:00"/>
    <d v="2026-08-14T10:11:00"/>
    <s v="已完工"/>
    <s v="无"/>
    <m/>
    <m/>
    <n v="0"/>
    <n v="4"/>
    <n v="1"/>
    <n v="1"/>
    <n v="0"/>
    <n v="0"/>
    <n v="0"/>
    <s v="无"/>
    <n v="1"/>
  </r>
  <r>
    <x v="300"/>
    <x v="2"/>
    <x v="2"/>
    <s v="CQ01"/>
    <d v="2026-08-14T08:35:00"/>
    <d v="2026-08-14T10:03:00"/>
    <d v="2026-08-16T10:00:00"/>
    <d v="2026-08-16T09:38:00"/>
    <d v="2026-08-16T13:00:00"/>
    <d v="2026-08-16T11:48:00"/>
    <s v="已完工"/>
    <s v="无"/>
    <m/>
    <m/>
    <n v="0"/>
    <n v="5"/>
    <n v="1"/>
    <n v="1"/>
    <n v="0"/>
    <n v="0"/>
    <n v="0"/>
    <s v="无"/>
    <n v="1"/>
  </r>
  <r>
    <x v="301"/>
    <x v="0"/>
    <x v="1"/>
    <s v="BJ01"/>
    <d v="2026-08-14T09:55:00"/>
    <d v="2026-08-14T11:18:00"/>
    <d v="2026-08-15T12:00:00"/>
    <m/>
    <d v="2026-08-15T16:00:00"/>
    <m/>
    <s v="未完工"/>
    <s v="上门超时"/>
    <d v="2026-08-15T12:00:00"/>
    <m/>
    <n v="1"/>
    <m/>
    <n v="0"/>
    <n v="0"/>
    <n v="1"/>
    <n v="0"/>
    <n v="1"/>
    <s v="上门超时"/>
    <n v="1"/>
  </r>
  <r>
    <x v="302"/>
    <x v="2"/>
    <x v="1"/>
    <s v="CQ01"/>
    <d v="2026-08-14T09:55:00"/>
    <d v="2026-08-14T11:53:00"/>
    <d v="2026-08-15T15:00:00"/>
    <d v="2026-08-15T14:43:00"/>
    <d v="2026-08-15T19:00:00"/>
    <m/>
    <s v="未完工"/>
    <s v="完工超时"/>
    <d v="2026-08-15T19:00:00"/>
    <m/>
    <n v="0"/>
    <m/>
    <n v="1"/>
    <n v="0"/>
    <n v="1"/>
    <n v="0"/>
    <n v="1"/>
    <s v="完工超时"/>
    <n v="1"/>
  </r>
  <r>
    <x v="303"/>
    <x v="2"/>
    <x v="2"/>
    <s v="CQ01"/>
    <d v="2026-08-14T10:25:00"/>
    <d v="2026-08-14T13:09:00"/>
    <d v="2026-08-15T12:00:00"/>
    <d v="2026-08-15T11:35:00"/>
    <d v="2026-08-15T15:00:00"/>
    <d v="2026-08-15T13:44:00"/>
    <s v="已完工"/>
    <s v="无"/>
    <m/>
    <m/>
    <n v="0"/>
    <n v="5"/>
    <n v="1"/>
    <n v="1"/>
    <n v="0"/>
    <n v="0"/>
    <n v="0"/>
    <s v="无"/>
    <n v="1"/>
  </r>
  <r>
    <x v="304"/>
    <x v="0"/>
    <x v="1"/>
    <s v="BJ02"/>
    <d v="2026-08-14T10:45:00"/>
    <d v="2026-08-14T12:41:00"/>
    <d v="2026-08-16T10:00:00"/>
    <d v="2026-08-16T09:46:00"/>
    <d v="2026-08-16T14:00:00"/>
    <m/>
    <s v="未完工"/>
    <s v="完工超时"/>
    <d v="2026-08-16T14:00:00"/>
    <m/>
    <n v="0"/>
    <m/>
    <n v="1"/>
    <n v="0"/>
    <n v="1"/>
    <n v="0"/>
    <n v="1"/>
    <s v="完工超时"/>
    <n v="1"/>
  </r>
  <r>
    <x v="305"/>
    <x v="0"/>
    <x v="0"/>
    <s v="BJ01"/>
    <d v="2026-08-14T12:15:00"/>
    <d v="2026-08-14T12:48:00"/>
    <d v="2026-08-15T12:00:00"/>
    <d v="2026-08-15T10:52:00"/>
    <d v="2026-08-15T17:00:00"/>
    <d v="2026-08-15T12:16:00"/>
    <s v="已完工"/>
    <s v="无"/>
    <m/>
    <m/>
    <n v="0"/>
    <n v="5"/>
    <n v="1"/>
    <n v="1"/>
    <n v="0"/>
    <n v="0"/>
    <n v="0"/>
    <s v="无"/>
    <n v="1"/>
  </r>
  <r>
    <x v="306"/>
    <x v="2"/>
    <x v="2"/>
    <s v="CQ02"/>
    <d v="2026-08-14T13:15:00"/>
    <m/>
    <d v="2026-08-15T17:00:00"/>
    <m/>
    <d v="2026-08-15T20:00:00"/>
    <m/>
    <s v="未完工"/>
    <s v="派单超时"/>
    <d v="2026-08-15T17:00:00"/>
    <m/>
    <n v="0"/>
    <m/>
    <n v="0"/>
    <n v="0"/>
    <n v="1"/>
    <n v="0"/>
    <n v="1"/>
    <s v="派单超时"/>
    <n v="1"/>
  </r>
  <r>
    <x v="307"/>
    <x v="0"/>
    <x v="0"/>
    <s v="BJ01"/>
    <d v="2026-08-14T14:40:00"/>
    <d v="2026-08-14T18:40:00"/>
    <d v="2026-08-15T10:00:00"/>
    <d v="2026-08-15T08:54:00"/>
    <d v="2026-08-15T15:00:00"/>
    <d v="2026-08-15T10:41:00"/>
    <s v="已完工"/>
    <s v="无"/>
    <m/>
    <m/>
    <n v="0"/>
    <n v="5"/>
    <n v="1"/>
    <n v="1"/>
    <n v="0"/>
    <n v="0"/>
    <n v="0"/>
    <s v="无"/>
    <n v="1"/>
  </r>
  <r>
    <x v="308"/>
    <x v="0"/>
    <x v="0"/>
    <s v="BJ02"/>
    <d v="2026-08-14T15:10:00"/>
    <d v="2026-08-14T18:21:00"/>
    <d v="2026-08-15T10:00:00"/>
    <d v="2026-08-15T09:31:00"/>
    <d v="2026-08-15T15:00:00"/>
    <d v="2026-08-15T12:00:00"/>
    <s v="已完工"/>
    <s v="无"/>
    <m/>
    <m/>
    <n v="0"/>
    <n v="5"/>
    <n v="1"/>
    <n v="1"/>
    <n v="0"/>
    <n v="0"/>
    <n v="0"/>
    <s v="无"/>
    <n v="1"/>
  </r>
  <r>
    <x v="309"/>
    <x v="2"/>
    <x v="1"/>
    <s v="CQ01"/>
    <d v="2026-08-14T16:10:00"/>
    <d v="2026-08-14T19:39:00"/>
    <d v="2026-08-15T15:00:00"/>
    <d v="2026-08-15T14:21:00"/>
    <d v="2026-08-15T19:00:00"/>
    <d v="2026-08-15T15:12:00"/>
    <s v="已完工"/>
    <s v="无"/>
    <m/>
    <m/>
    <n v="0"/>
    <n v="5"/>
    <n v="1"/>
    <n v="1"/>
    <n v="0"/>
    <n v="0"/>
    <n v="0"/>
    <s v="无"/>
    <n v="1"/>
  </r>
  <r>
    <x v="310"/>
    <x v="1"/>
    <x v="0"/>
    <s v="WH02"/>
    <d v="2026-08-14T17:25:00"/>
    <d v="2026-08-14T20:45:00"/>
    <d v="2026-08-15T15:00:00"/>
    <d v="2026-08-15T13:53:00"/>
    <d v="2026-08-15T20:00:00"/>
    <d v="2026-08-15T15:56:00"/>
    <s v="已完工"/>
    <s v="无"/>
    <m/>
    <m/>
    <n v="0"/>
    <n v="4"/>
    <n v="1"/>
    <n v="1"/>
    <n v="0"/>
    <n v="0"/>
    <n v="0"/>
    <s v="无"/>
    <n v="1"/>
  </r>
  <r>
    <x v="311"/>
    <x v="0"/>
    <x v="2"/>
    <s v="BJ01"/>
    <d v="2026-08-14T18:00:00"/>
    <d v="2026-08-14T20:28:00"/>
    <d v="2026-08-16T15:00:00"/>
    <d v="2026-08-16T14:34:00"/>
    <d v="2026-08-16T18:00:00"/>
    <d v="2026-08-16T16:48:00"/>
    <s v="已完工"/>
    <s v="无"/>
    <m/>
    <m/>
    <n v="1"/>
    <n v="3"/>
    <n v="1"/>
    <n v="1"/>
    <n v="0"/>
    <n v="0"/>
    <n v="0"/>
    <s v="无"/>
    <n v="1"/>
  </r>
  <r>
    <x v="312"/>
    <x v="0"/>
    <x v="0"/>
    <s v="BJ02"/>
    <d v="2026-08-14T18:50:00"/>
    <d v="2026-08-14T19:55:00"/>
    <d v="2026-08-15T17:00:00"/>
    <d v="2026-08-15T16:09:00"/>
    <d v="2026-08-15T22:00:00"/>
    <d v="2026-08-15T17:51:00"/>
    <s v="已完工"/>
    <s v="无"/>
    <m/>
    <m/>
    <n v="0"/>
    <n v="4"/>
    <n v="1"/>
    <n v="1"/>
    <n v="0"/>
    <n v="0"/>
    <n v="0"/>
    <s v="无"/>
    <n v="1"/>
  </r>
  <r>
    <x v="313"/>
    <x v="1"/>
    <x v="1"/>
    <s v="WH01"/>
    <d v="2026-08-14T18:55:00"/>
    <d v="2026-08-14T21:35:00"/>
    <d v="2026-08-17T17:00:00"/>
    <d v="2026-08-17T16:11:00"/>
    <d v="2026-08-17T21:00:00"/>
    <d v="2026-08-17T17:47:00"/>
    <s v="已完工"/>
    <s v="无"/>
    <m/>
    <m/>
    <n v="0"/>
    <n v="4"/>
    <n v="1"/>
    <n v="1"/>
    <n v="0"/>
    <n v="0"/>
    <n v="0"/>
    <s v="无"/>
    <n v="1"/>
  </r>
  <r>
    <x v="314"/>
    <x v="2"/>
    <x v="1"/>
    <s v="CQ01"/>
    <d v="2026-08-15T08:15:00"/>
    <d v="2026-08-15T10:09:00"/>
    <d v="2026-08-18T12:00:00"/>
    <d v="2026-08-18T11:25:00"/>
    <d v="2026-08-18T16:00:00"/>
    <d v="2026-08-18T16:38:00"/>
    <s v="已完工"/>
    <s v="完工超时"/>
    <d v="2026-08-18T16:00:00"/>
    <d v="2026-08-18T19:19:00"/>
    <n v="0"/>
    <n v="4"/>
    <n v="1"/>
    <n v="0"/>
    <n v="1"/>
    <n v="1"/>
    <n v="0"/>
    <s v="完工超时"/>
    <n v="1"/>
  </r>
  <r>
    <x v="315"/>
    <x v="0"/>
    <x v="2"/>
    <s v="BJ02"/>
    <d v="2026-08-15T10:10:00"/>
    <d v="2026-08-15T11:18:00"/>
    <d v="2026-08-18T17:00:00"/>
    <d v="2026-08-18T15:55:00"/>
    <d v="2026-08-18T20:00:00"/>
    <d v="2026-08-18T17:36:00"/>
    <s v="已完工"/>
    <s v="无"/>
    <m/>
    <m/>
    <n v="0"/>
    <m/>
    <n v="1"/>
    <n v="1"/>
    <n v="0"/>
    <n v="0"/>
    <n v="0"/>
    <s v="无"/>
    <n v="1"/>
  </r>
  <r>
    <x v="316"/>
    <x v="2"/>
    <x v="0"/>
    <s v="CQ02"/>
    <d v="2026-08-15T10:10:00"/>
    <d v="2026-08-15T13:49:00"/>
    <d v="2026-08-16T12:00:00"/>
    <d v="2026-08-16T11:32:00"/>
    <d v="2026-08-16T17:00:00"/>
    <d v="2026-08-16T12:25:00"/>
    <s v="已完工"/>
    <s v="无"/>
    <m/>
    <m/>
    <n v="0"/>
    <n v="5"/>
    <n v="1"/>
    <n v="1"/>
    <n v="0"/>
    <n v="0"/>
    <n v="0"/>
    <s v="无"/>
    <n v="1"/>
  </r>
  <r>
    <x v="317"/>
    <x v="1"/>
    <x v="1"/>
    <s v="WH02"/>
    <d v="2026-08-15T11:15:00"/>
    <d v="2026-08-15T13:04:00"/>
    <d v="2026-08-17T17:00:00"/>
    <d v="2026-08-17T16:24:00"/>
    <d v="2026-08-17T21:00:00"/>
    <d v="2026-08-17T18:49:00"/>
    <s v="已完工"/>
    <s v="无"/>
    <m/>
    <m/>
    <n v="0"/>
    <n v="5"/>
    <n v="1"/>
    <n v="1"/>
    <n v="0"/>
    <n v="0"/>
    <n v="0"/>
    <s v="无"/>
    <n v="1"/>
  </r>
  <r>
    <x v="318"/>
    <x v="2"/>
    <x v="2"/>
    <s v="CQ02"/>
    <d v="2026-08-15T11:45:00"/>
    <d v="2026-08-15T14:47:00"/>
    <d v="2026-08-18T12:00:00"/>
    <d v="2026-08-18T11:22:00"/>
    <d v="2026-08-18T15:00:00"/>
    <d v="2026-08-18T13:51:00"/>
    <s v="已完工"/>
    <s v="无"/>
    <m/>
    <m/>
    <n v="0"/>
    <n v="5"/>
    <n v="1"/>
    <n v="1"/>
    <n v="0"/>
    <n v="0"/>
    <n v="0"/>
    <s v="无"/>
    <n v="1"/>
  </r>
  <r>
    <x v="319"/>
    <x v="1"/>
    <x v="0"/>
    <s v="WH02"/>
    <d v="2026-08-15T11:55:00"/>
    <d v="2026-08-15T14:10:00"/>
    <d v="2026-08-17T12:00:00"/>
    <d v="2026-08-17T11:31:00"/>
    <d v="2026-08-17T17:00:00"/>
    <d v="2026-08-17T12:35:00"/>
    <s v="已完工"/>
    <s v="无"/>
    <m/>
    <m/>
    <n v="0"/>
    <n v="5"/>
    <n v="1"/>
    <n v="1"/>
    <n v="0"/>
    <n v="0"/>
    <n v="0"/>
    <s v="无"/>
    <n v="1"/>
  </r>
  <r>
    <x v="320"/>
    <x v="0"/>
    <x v="1"/>
    <s v="BJ02"/>
    <d v="2026-08-15T12:15:00"/>
    <d v="2026-08-15T13:52:00"/>
    <d v="2026-08-17T15:00:00"/>
    <d v="2026-08-17T14:08:00"/>
    <d v="2026-08-17T19:00:00"/>
    <d v="2026-08-17T15:56:00"/>
    <s v="已完工"/>
    <s v="无"/>
    <m/>
    <m/>
    <n v="0"/>
    <n v="4"/>
    <n v="1"/>
    <n v="1"/>
    <n v="0"/>
    <n v="0"/>
    <n v="0"/>
    <s v="无"/>
    <n v="1"/>
  </r>
  <r>
    <x v="321"/>
    <x v="2"/>
    <x v="0"/>
    <s v="CQ02"/>
    <d v="2026-08-15T12:25:00"/>
    <d v="2026-08-15T13:39:00"/>
    <d v="2026-08-17T10:00:00"/>
    <d v="2026-08-17T09:06:00"/>
    <d v="2026-08-17T15:00:00"/>
    <d v="2026-08-17T11:36:00"/>
    <s v="已完工"/>
    <s v="无"/>
    <m/>
    <m/>
    <n v="0"/>
    <n v="4"/>
    <n v="1"/>
    <n v="1"/>
    <n v="0"/>
    <n v="0"/>
    <n v="0"/>
    <s v="无"/>
    <n v="1"/>
  </r>
  <r>
    <x v="322"/>
    <x v="1"/>
    <x v="0"/>
    <s v="WH01"/>
    <d v="2026-08-15T12:25:00"/>
    <d v="2026-08-15T15:14:00"/>
    <d v="2026-08-16T17:00:00"/>
    <d v="2026-08-16T15:51:00"/>
    <d v="2026-08-16T22:00:00"/>
    <d v="2026-08-16T17:48:00"/>
    <s v="已完工"/>
    <s v="无"/>
    <m/>
    <m/>
    <n v="0"/>
    <n v="5"/>
    <n v="1"/>
    <n v="1"/>
    <n v="0"/>
    <n v="0"/>
    <n v="0"/>
    <s v="无"/>
    <n v="1"/>
  </r>
  <r>
    <x v="323"/>
    <x v="0"/>
    <x v="0"/>
    <s v="BJ02"/>
    <d v="2026-08-15T12:30:00"/>
    <d v="2026-08-15T16:00:00"/>
    <d v="2026-08-17T15:00:00"/>
    <d v="2026-08-17T14:47:00"/>
    <d v="2026-08-17T20:00:00"/>
    <d v="2026-08-17T17:08:00"/>
    <s v="已完工"/>
    <s v="无"/>
    <m/>
    <m/>
    <n v="0"/>
    <n v="4"/>
    <n v="1"/>
    <n v="1"/>
    <n v="0"/>
    <n v="0"/>
    <n v="0"/>
    <s v="无"/>
    <n v="1"/>
  </r>
  <r>
    <x v="324"/>
    <x v="0"/>
    <x v="0"/>
    <s v="BJ01"/>
    <d v="2026-08-15T12:50:00"/>
    <d v="2026-08-15T15:43:00"/>
    <d v="2026-08-16T12:00:00"/>
    <d v="2026-08-16T11:34:00"/>
    <d v="2026-08-16T17:00:00"/>
    <d v="2026-08-16T12:58:00"/>
    <s v="已完工"/>
    <s v="无"/>
    <m/>
    <m/>
    <n v="0"/>
    <n v="4"/>
    <n v="1"/>
    <n v="1"/>
    <n v="0"/>
    <n v="0"/>
    <n v="0"/>
    <s v="无"/>
    <n v="1"/>
  </r>
  <r>
    <x v="325"/>
    <x v="2"/>
    <x v="1"/>
    <s v="CQ02"/>
    <d v="2026-08-15T13:00:00"/>
    <d v="2026-08-15T13:34:00"/>
    <d v="2026-08-16T12:00:00"/>
    <d v="2026-08-16T11:49:00"/>
    <d v="2026-08-16T16:00:00"/>
    <d v="2026-08-16T13:57:00"/>
    <s v="已完工"/>
    <s v="无"/>
    <m/>
    <m/>
    <n v="0"/>
    <n v="4"/>
    <n v="1"/>
    <n v="1"/>
    <n v="0"/>
    <n v="0"/>
    <n v="0"/>
    <s v="无"/>
    <n v="1"/>
  </r>
  <r>
    <x v="326"/>
    <x v="0"/>
    <x v="2"/>
    <s v="BJ01"/>
    <d v="2026-08-15T13:05:00"/>
    <d v="2026-08-15T13:46:00"/>
    <d v="2026-08-16T10:00:00"/>
    <d v="2026-08-16T09:25:00"/>
    <d v="2026-08-16T13:00:00"/>
    <d v="2026-08-16T11:33:00"/>
    <s v="已完工"/>
    <s v="无"/>
    <m/>
    <m/>
    <n v="0"/>
    <n v="3"/>
    <n v="1"/>
    <n v="1"/>
    <n v="0"/>
    <n v="0"/>
    <n v="0"/>
    <s v="无"/>
    <n v="1"/>
  </r>
  <r>
    <x v="327"/>
    <x v="2"/>
    <x v="1"/>
    <s v="CQ01"/>
    <d v="2026-08-15T13:30:00"/>
    <d v="2026-08-15T15:10:00"/>
    <d v="2026-08-16T10:00:00"/>
    <d v="2026-08-16T09:32:00"/>
    <d v="2026-08-16T14:00:00"/>
    <d v="2026-08-16T10:38:00"/>
    <s v="已完工"/>
    <s v="无"/>
    <m/>
    <m/>
    <n v="0"/>
    <n v="4"/>
    <n v="1"/>
    <n v="1"/>
    <n v="0"/>
    <n v="0"/>
    <n v="0"/>
    <s v="无"/>
    <n v="1"/>
  </r>
  <r>
    <x v="328"/>
    <x v="2"/>
    <x v="1"/>
    <s v="CQ02"/>
    <d v="2026-08-15T14:40:00"/>
    <d v="2026-08-15T18:21:00"/>
    <d v="2026-08-16T12:00:00"/>
    <d v="2026-08-16T11:08:00"/>
    <d v="2026-08-16T16:00:00"/>
    <d v="2026-08-16T13:28:00"/>
    <s v="已完工"/>
    <s v="无"/>
    <m/>
    <m/>
    <n v="0"/>
    <n v="4"/>
    <n v="1"/>
    <n v="1"/>
    <n v="0"/>
    <n v="0"/>
    <n v="0"/>
    <s v="无"/>
    <n v="1"/>
  </r>
  <r>
    <x v="329"/>
    <x v="2"/>
    <x v="2"/>
    <s v="CQ01"/>
    <d v="2026-08-15T14:50:00"/>
    <d v="2026-08-15T15:52:00"/>
    <d v="2026-08-18T15:00:00"/>
    <d v="2026-08-18T14:31:00"/>
    <d v="2026-08-18T18:00:00"/>
    <d v="2026-08-18T16:37:00"/>
    <s v="已完工"/>
    <s v="无"/>
    <m/>
    <m/>
    <n v="0"/>
    <n v="4"/>
    <n v="1"/>
    <n v="1"/>
    <n v="0"/>
    <n v="0"/>
    <n v="0"/>
    <s v="无"/>
    <n v="1"/>
  </r>
  <r>
    <x v="330"/>
    <x v="2"/>
    <x v="1"/>
    <s v="CQ02"/>
    <d v="2026-08-15T16:30:00"/>
    <d v="2026-08-15T17:33:00"/>
    <d v="2026-08-17T10:00:00"/>
    <d v="2026-08-17T09:14:00"/>
    <d v="2026-08-17T14:00:00"/>
    <d v="2026-08-17T11:00:00"/>
    <s v="已完工"/>
    <s v="无"/>
    <m/>
    <m/>
    <n v="0"/>
    <n v="5"/>
    <n v="1"/>
    <n v="1"/>
    <n v="0"/>
    <n v="0"/>
    <n v="0"/>
    <s v="无"/>
    <n v="1"/>
  </r>
  <r>
    <x v="331"/>
    <x v="1"/>
    <x v="0"/>
    <s v="WH01"/>
    <d v="2026-08-15T17:15:00"/>
    <d v="2026-08-15T20:10:00"/>
    <d v="2026-08-17T10:00:00"/>
    <d v="2026-08-17T09:26:00"/>
    <d v="2026-08-17T15:00:00"/>
    <d v="2026-08-17T10:47:00"/>
    <s v="已完工"/>
    <s v="无"/>
    <m/>
    <m/>
    <n v="0"/>
    <n v="3"/>
    <n v="1"/>
    <n v="1"/>
    <n v="0"/>
    <n v="0"/>
    <n v="0"/>
    <s v="无"/>
    <n v="1"/>
  </r>
  <r>
    <x v="332"/>
    <x v="1"/>
    <x v="1"/>
    <s v="WH01"/>
    <d v="2026-08-15T17:30:00"/>
    <d v="2026-08-15T21:18:00"/>
    <d v="2026-08-16T15:00:00"/>
    <d v="2026-08-16T14:02:00"/>
    <d v="2026-08-16T19:00:00"/>
    <d v="2026-08-16T16:15:00"/>
    <s v="已完工"/>
    <s v="无"/>
    <m/>
    <m/>
    <n v="0"/>
    <n v="5"/>
    <n v="1"/>
    <n v="1"/>
    <n v="0"/>
    <n v="0"/>
    <n v="0"/>
    <s v="无"/>
    <n v="1"/>
  </r>
  <r>
    <x v="333"/>
    <x v="1"/>
    <x v="0"/>
    <s v="WH02"/>
    <d v="2026-08-15T17:50:00"/>
    <d v="2026-08-15T18:50:00"/>
    <d v="2026-08-17T15:00:00"/>
    <d v="2026-08-17T14:01:00"/>
    <d v="2026-08-17T20:00:00"/>
    <d v="2026-08-17T15:03:00"/>
    <s v="已完工"/>
    <s v="无"/>
    <m/>
    <m/>
    <n v="0"/>
    <n v="5"/>
    <n v="1"/>
    <n v="1"/>
    <n v="0"/>
    <n v="0"/>
    <n v="0"/>
    <s v="无"/>
    <n v="1"/>
  </r>
  <r>
    <x v="334"/>
    <x v="1"/>
    <x v="1"/>
    <s v="WH01"/>
    <d v="2026-08-15T18:00:00"/>
    <d v="2026-08-16T13:52:00"/>
    <d v="2026-08-16T12:00:00"/>
    <d v="2026-08-16T15:33:00"/>
    <d v="2026-08-16T16:00:00"/>
    <d v="2026-08-16T16:43:00"/>
    <s v="已完工"/>
    <s v="派单超时"/>
    <d v="2026-08-16T12:00:00"/>
    <d v="2026-08-16T20:09:00"/>
    <n v="0"/>
    <m/>
    <n v="0"/>
    <n v="0"/>
    <n v="1"/>
    <n v="1"/>
    <n v="0"/>
    <s v="派单超时"/>
    <n v="1"/>
  </r>
  <r>
    <x v="335"/>
    <x v="0"/>
    <x v="0"/>
    <s v="BJ01"/>
    <d v="2026-08-15T18:05:00"/>
    <d v="2026-08-15T19:38:00"/>
    <d v="2026-08-17T12:00:00"/>
    <d v="2026-08-17T11:27:00"/>
    <d v="2026-08-17T17:00:00"/>
    <d v="2026-08-17T13:35:00"/>
    <s v="已完工"/>
    <s v="无"/>
    <m/>
    <m/>
    <n v="0"/>
    <n v="5"/>
    <n v="1"/>
    <n v="1"/>
    <n v="0"/>
    <n v="0"/>
    <n v="0"/>
    <s v="无"/>
    <n v="1"/>
  </r>
  <r>
    <x v="336"/>
    <x v="0"/>
    <x v="1"/>
    <s v="BJ02"/>
    <d v="2026-08-15T18:30:00"/>
    <d v="2026-08-15T20:33:00"/>
    <d v="2026-08-17T10:00:00"/>
    <d v="2026-08-17T09:06:00"/>
    <d v="2026-08-17T14:00:00"/>
    <m/>
    <s v="未完工"/>
    <s v="完工超时"/>
    <d v="2026-08-17T14:00:00"/>
    <m/>
    <n v="0"/>
    <m/>
    <n v="1"/>
    <n v="0"/>
    <n v="1"/>
    <n v="0"/>
    <n v="1"/>
    <s v="完工超时"/>
    <n v="1"/>
  </r>
  <r>
    <x v="337"/>
    <x v="0"/>
    <x v="0"/>
    <s v="BJ01"/>
    <d v="2026-08-15T18:55:00"/>
    <d v="2026-08-15T20:57:00"/>
    <d v="2026-08-16T17:00:00"/>
    <d v="2026-08-16T16:34:00"/>
    <d v="2026-08-16T22:00:00"/>
    <d v="2026-08-16T18:49:00"/>
    <s v="已完工"/>
    <s v="无"/>
    <m/>
    <m/>
    <n v="0"/>
    <n v="5"/>
    <n v="1"/>
    <n v="1"/>
    <n v="0"/>
    <n v="0"/>
    <n v="0"/>
    <s v="无"/>
    <n v="1"/>
  </r>
  <r>
    <x v="338"/>
    <x v="2"/>
    <x v="1"/>
    <s v="CQ01"/>
    <d v="2026-08-16T09:35:00"/>
    <d v="2026-08-16T10:31:00"/>
    <d v="2026-08-18T10:00:00"/>
    <d v="2026-08-18T08:45:00"/>
    <d v="2026-08-18T14:00:00"/>
    <d v="2026-08-18T11:11:00"/>
    <s v="已完工"/>
    <s v="无"/>
    <m/>
    <m/>
    <n v="0"/>
    <n v="5"/>
    <n v="1"/>
    <n v="1"/>
    <n v="0"/>
    <n v="0"/>
    <n v="0"/>
    <s v="无"/>
    <n v="1"/>
  </r>
  <r>
    <x v="339"/>
    <x v="2"/>
    <x v="2"/>
    <s v="CQ02"/>
    <d v="2026-08-16T09:55:00"/>
    <d v="2026-08-16T11:42:00"/>
    <d v="2026-08-17T15:00:00"/>
    <d v="2026-08-17T13:45:00"/>
    <d v="2026-08-17T18:00:00"/>
    <d v="2026-08-17T16:14:00"/>
    <s v="已完工"/>
    <s v="无"/>
    <m/>
    <m/>
    <n v="0"/>
    <n v="3"/>
    <n v="1"/>
    <n v="1"/>
    <n v="0"/>
    <n v="0"/>
    <n v="0"/>
    <s v="无"/>
    <n v="1"/>
  </r>
  <r>
    <x v="340"/>
    <x v="2"/>
    <x v="1"/>
    <s v="CQ02"/>
    <d v="2026-08-16T10:35:00"/>
    <d v="2026-08-16T14:30:00"/>
    <d v="2026-08-18T17:00:00"/>
    <d v="2026-08-18T16:47:00"/>
    <d v="2026-08-18T21:00:00"/>
    <d v="2026-08-18T18:00:00"/>
    <s v="已完工"/>
    <s v="无"/>
    <m/>
    <m/>
    <n v="0"/>
    <n v="5"/>
    <n v="1"/>
    <n v="1"/>
    <n v="0"/>
    <n v="0"/>
    <n v="0"/>
    <s v="无"/>
    <n v="1"/>
  </r>
  <r>
    <x v="341"/>
    <x v="1"/>
    <x v="1"/>
    <s v="WH02"/>
    <d v="2026-08-16T10:55:00"/>
    <d v="2026-08-16T11:28:00"/>
    <d v="2026-08-17T10:00:00"/>
    <d v="2026-08-17T08:52:00"/>
    <d v="2026-08-17T14:00:00"/>
    <d v="2026-08-17T11:21:00"/>
    <s v="已完工"/>
    <s v="无"/>
    <m/>
    <m/>
    <n v="0"/>
    <n v="3"/>
    <n v="1"/>
    <n v="1"/>
    <n v="0"/>
    <n v="0"/>
    <n v="0"/>
    <s v="无"/>
    <n v="1"/>
  </r>
  <r>
    <x v="342"/>
    <x v="2"/>
    <x v="0"/>
    <s v="CQ02"/>
    <d v="2026-08-16T11:05:00"/>
    <d v="2026-08-16T11:51:00"/>
    <d v="2026-08-17T15:00:00"/>
    <d v="2026-08-17T14:17:00"/>
    <d v="2026-08-17T20:00:00"/>
    <d v="2026-08-17T16:22:00"/>
    <s v="已完工"/>
    <s v="无"/>
    <m/>
    <m/>
    <n v="0"/>
    <n v="5"/>
    <n v="1"/>
    <n v="1"/>
    <n v="0"/>
    <n v="0"/>
    <n v="0"/>
    <s v="无"/>
    <n v="1"/>
  </r>
  <r>
    <x v="343"/>
    <x v="0"/>
    <x v="0"/>
    <s v="BJ01"/>
    <d v="2026-08-16T11:10:00"/>
    <d v="2026-08-16T14:53:00"/>
    <d v="2026-08-17T17:00:00"/>
    <m/>
    <d v="2026-08-17T22:00:00"/>
    <m/>
    <s v="未完工"/>
    <s v="上门超时"/>
    <d v="2026-08-17T17:00:00"/>
    <m/>
    <n v="1"/>
    <m/>
    <n v="0"/>
    <n v="0"/>
    <n v="1"/>
    <n v="0"/>
    <n v="1"/>
    <s v="上门超时"/>
    <n v="1"/>
  </r>
  <r>
    <x v="344"/>
    <x v="2"/>
    <x v="0"/>
    <s v="CQ01"/>
    <d v="2026-08-16T12:10:00"/>
    <d v="2026-08-16T12:53:00"/>
    <d v="2026-08-19T15:00:00"/>
    <d v="2026-08-19T13:56:00"/>
    <d v="2026-08-19T20:00:00"/>
    <d v="2026-08-19T22:43:00"/>
    <s v="已完工"/>
    <s v="完工超时"/>
    <d v="2026-08-19T20:00:00"/>
    <d v="2026-08-20T00:15:00"/>
    <n v="0"/>
    <m/>
    <n v="1"/>
    <n v="0"/>
    <n v="1"/>
    <n v="1"/>
    <n v="0"/>
    <s v="完工超时"/>
    <n v="1"/>
  </r>
  <r>
    <x v="345"/>
    <x v="2"/>
    <x v="0"/>
    <s v="CQ01"/>
    <d v="2026-08-16T12:30:00"/>
    <d v="2026-08-16T14:14:00"/>
    <d v="2026-08-18T15:00:00"/>
    <d v="2026-08-18T14:48:00"/>
    <d v="2026-08-18T20:00:00"/>
    <d v="2026-08-18T20:15:00"/>
    <s v="已完工"/>
    <s v="完工超时"/>
    <d v="2026-08-18T20:00:00"/>
    <d v="2026-08-18T22:28:00"/>
    <n v="0"/>
    <m/>
    <n v="1"/>
    <n v="0"/>
    <n v="1"/>
    <n v="1"/>
    <n v="0"/>
    <s v="完工超时"/>
    <n v="1"/>
  </r>
  <r>
    <x v="346"/>
    <x v="0"/>
    <x v="0"/>
    <s v="BJ01"/>
    <d v="2026-08-16T13:00:00"/>
    <d v="2026-08-16T15:45:00"/>
    <d v="2026-08-17T17:00:00"/>
    <d v="2026-08-17T16:04:00"/>
    <d v="2026-08-17T22:00:00"/>
    <d v="2026-08-17T18:09:00"/>
    <s v="已完工"/>
    <s v="无"/>
    <m/>
    <m/>
    <n v="0"/>
    <n v="4"/>
    <n v="1"/>
    <n v="1"/>
    <n v="0"/>
    <n v="0"/>
    <n v="0"/>
    <s v="无"/>
    <n v="1"/>
  </r>
  <r>
    <x v="347"/>
    <x v="1"/>
    <x v="1"/>
    <s v="WH01"/>
    <d v="2026-08-16T13:10:00"/>
    <m/>
    <d v="2026-08-18T17:00:00"/>
    <m/>
    <d v="2026-08-18T21:00:00"/>
    <m/>
    <s v="未完工"/>
    <s v="派单超时"/>
    <d v="2026-08-18T17:00:00"/>
    <m/>
    <n v="0"/>
    <m/>
    <n v="0"/>
    <n v="0"/>
    <n v="1"/>
    <n v="0"/>
    <n v="1"/>
    <s v="派单超时"/>
    <n v="1"/>
  </r>
  <r>
    <x v="348"/>
    <x v="2"/>
    <x v="0"/>
    <s v="CQ01"/>
    <d v="2026-08-16T13:25:00"/>
    <d v="2026-08-16T15:27:00"/>
    <d v="2026-08-17T12:00:00"/>
    <d v="2026-08-17T11:05:00"/>
    <d v="2026-08-17T17:00:00"/>
    <d v="2026-08-17T17:59:00"/>
    <s v="已完工"/>
    <s v="完工超时"/>
    <d v="2026-08-17T17:00:00"/>
    <d v="2026-08-17T19:57:00"/>
    <n v="0"/>
    <m/>
    <n v="1"/>
    <n v="0"/>
    <n v="1"/>
    <n v="1"/>
    <n v="0"/>
    <s v="完工超时"/>
    <n v="1"/>
  </r>
  <r>
    <x v="349"/>
    <x v="2"/>
    <x v="0"/>
    <s v="CQ01"/>
    <d v="2026-08-16T14:20:00"/>
    <d v="2026-08-16T15:43:00"/>
    <d v="2026-08-18T12:00:00"/>
    <d v="2026-08-18T11:01:00"/>
    <d v="2026-08-18T17:00:00"/>
    <d v="2026-08-18T12:04:00"/>
    <s v="已完工"/>
    <s v="无"/>
    <m/>
    <m/>
    <n v="0"/>
    <n v="5"/>
    <n v="1"/>
    <n v="1"/>
    <n v="0"/>
    <n v="0"/>
    <n v="0"/>
    <s v="无"/>
    <n v="1"/>
  </r>
  <r>
    <x v="350"/>
    <x v="1"/>
    <x v="0"/>
    <s v="WH02"/>
    <d v="2026-08-16T17:05:00"/>
    <d v="2026-08-16T19:03:00"/>
    <d v="2026-08-17T15:00:00"/>
    <d v="2026-08-17T14:45:00"/>
    <d v="2026-08-17T20:00:00"/>
    <d v="2026-08-17T16:07:00"/>
    <s v="已完工"/>
    <s v="无"/>
    <m/>
    <m/>
    <n v="1"/>
    <m/>
    <n v="1"/>
    <n v="1"/>
    <n v="0"/>
    <n v="0"/>
    <n v="0"/>
    <s v="无"/>
    <n v="1"/>
  </r>
  <r>
    <x v="351"/>
    <x v="0"/>
    <x v="1"/>
    <s v="BJ02"/>
    <d v="2026-08-16T17:35:00"/>
    <d v="2026-08-16T18:39:00"/>
    <d v="2026-08-17T12:00:00"/>
    <d v="2026-08-17T13:08:00"/>
    <d v="2026-08-17T16:00:00"/>
    <d v="2026-08-17T14:17:00"/>
    <s v="已完工"/>
    <s v="上门超时"/>
    <d v="2026-08-17T12:00:00"/>
    <d v="2026-08-17T18:09:00"/>
    <n v="0"/>
    <n v="2"/>
    <n v="0"/>
    <n v="1"/>
    <n v="1"/>
    <n v="1"/>
    <n v="0"/>
    <s v="上门超时"/>
    <n v="1"/>
  </r>
  <r>
    <x v="352"/>
    <x v="2"/>
    <x v="0"/>
    <s v="CQ01"/>
    <d v="2026-08-16T17:45:00"/>
    <d v="2026-08-16T20:57:00"/>
    <d v="2026-08-18T10:00:00"/>
    <d v="2026-08-18T08:54:00"/>
    <d v="2026-08-18T15:00:00"/>
    <d v="2026-08-18T10:50:00"/>
    <s v="已完工"/>
    <s v="无"/>
    <m/>
    <m/>
    <n v="0"/>
    <n v="4"/>
    <n v="1"/>
    <n v="1"/>
    <n v="0"/>
    <n v="0"/>
    <n v="0"/>
    <s v="无"/>
    <n v="1"/>
  </r>
  <r>
    <x v="353"/>
    <x v="1"/>
    <x v="0"/>
    <s v="WH02"/>
    <d v="2026-08-16T17:45:00"/>
    <d v="2026-08-16T21:35:00"/>
    <d v="2026-08-17T17:00:00"/>
    <d v="2026-08-17T17:28:00"/>
    <d v="2026-08-17T22:00:00"/>
    <d v="2026-08-17T19:26:00"/>
    <s v="已完工"/>
    <s v="上门超时"/>
    <d v="2026-08-17T17:00:00"/>
    <d v="2026-08-17T21:58:00"/>
    <n v="0"/>
    <n v="3"/>
    <n v="0"/>
    <n v="1"/>
    <n v="1"/>
    <n v="1"/>
    <n v="0"/>
    <s v="上门超时"/>
    <n v="1"/>
  </r>
  <r>
    <x v="354"/>
    <x v="0"/>
    <x v="1"/>
    <s v="BJ01"/>
    <d v="2026-08-16T17:50:00"/>
    <d v="2026-08-16T19:45:00"/>
    <d v="2026-08-18T15:00:00"/>
    <d v="2026-08-18T14:01:00"/>
    <d v="2026-08-18T19:00:00"/>
    <d v="2026-08-18T16:25:00"/>
    <s v="已完工"/>
    <s v="无"/>
    <m/>
    <m/>
    <n v="0"/>
    <n v="4"/>
    <n v="1"/>
    <n v="1"/>
    <n v="0"/>
    <n v="0"/>
    <n v="0"/>
    <s v="无"/>
    <n v="1"/>
  </r>
  <r>
    <x v="355"/>
    <x v="0"/>
    <x v="1"/>
    <s v="BJ01"/>
    <d v="2026-08-16T18:15:00"/>
    <d v="2026-08-16T21:32:00"/>
    <d v="2026-08-17T15:00:00"/>
    <d v="2026-08-17T14:06:00"/>
    <d v="2026-08-17T19:00:00"/>
    <d v="2026-08-17T15:23:00"/>
    <s v="已完工"/>
    <s v="无"/>
    <m/>
    <m/>
    <n v="0"/>
    <n v="5"/>
    <n v="1"/>
    <n v="1"/>
    <n v="0"/>
    <n v="0"/>
    <n v="0"/>
    <s v="无"/>
    <n v="1"/>
  </r>
  <r>
    <x v="356"/>
    <x v="1"/>
    <x v="0"/>
    <s v="WH02"/>
    <d v="2026-08-16T18:20:00"/>
    <d v="2026-08-16T22:03:00"/>
    <d v="2026-08-18T12:00:00"/>
    <d v="2026-08-18T11:19:00"/>
    <d v="2026-08-18T17:00:00"/>
    <d v="2026-08-18T13:46:00"/>
    <s v="已完工"/>
    <s v="无"/>
    <m/>
    <m/>
    <n v="0"/>
    <m/>
    <n v="1"/>
    <n v="1"/>
    <n v="0"/>
    <n v="0"/>
    <n v="0"/>
    <s v="无"/>
    <n v="1"/>
  </r>
  <r>
    <x v="357"/>
    <x v="2"/>
    <x v="1"/>
    <s v="CQ01"/>
    <d v="2026-08-16T18:55:00"/>
    <d v="2026-08-17T18:11:00"/>
    <d v="2026-08-17T17:00:00"/>
    <d v="2026-08-17T20:09:00"/>
    <d v="2026-08-17T21:00:00"/>
    <d v="2026-08-17T21:10:00"/>
    <s v="已完工"/>
    <s v="派单超时"/>
    <d v="2026-08-17T17:00:00"/>
    <d v="2026-08-17T22:10:00"/>
    <n v="0"/>
    <n v="4"/>
    <n v="0"/>
    <n v="0"/>
    <n v="1"/>
    <n v="1"/>
    <n v="0"/>
    <s v="派单超时"/>
    <n v="1"/>
  </r>
  <r>
    <x v="358"/>
    <x v="1"/>
    <x v="2"/>
    <s v="WH01"/>
    <d v="2026-08-17T08:55:00"/>
    <d v="2026-08-17T10:44:00"/>
    <d v="2026-08-20T10:00:00"/>
    <d v="2026-08-20T08:52:00"/>
    <d v="2026-08-20T13:00:00"/>
    <d v="2026-08-20T10:25:00"/>
    <s v="已完工"/>
    <s v="无"/>
    <m/>
    <m/>
    <n v="0"/>
    <n v="5"/>
    <n v="1"/>
    <n v="1"/>
    <n v="0"/>
    <n v="0"/>
    <n v="0"/>
    <s v="无"/>
    <n v="1"/>
  </r>
  <r>
    <x v="359"/>
    <x v="1"/>
    <x v="0"/>
    <s v="WH02"/>
    <d v="2026-08-17T08:55:00"/>
    <d v="2026-08-17T11:37:00"/>
    <d v="2026-08-18T10:00:00"/>
    <d v="2026-08-18T09:28:00"/>
    <d v="2026-08-18T15:00:00"/>
    <d v="2026-08-18T11:28:00"/>
    <s v="已完工"/>
    <s v="无"/>
    <m/>
    <m/>
    <n v="0"/>
    <n v="3"/>
    <n v="1"/>
    <n v="1"/>
    <n v="0"/>
    <n v="0"/>
    <n v="0"/>
    <s v="无"/>
    <n v="1"/>
  </r>
  <r>
    <x v="360"/>
    <x v="1"/>
    <x v="1"/>
    <s v="WH02"/>
    <d v="2026-08-17T09:25:00"/>
    <d v="2026-08-17T12:25:00"/>
    <d v="2026-08-19T17:00:00"/>
    <d v="2026-08-19T16:01:00"/>
    <d v="2026-08-19T21:00:00"/>
    <d v="2026-08-19T23:29:00"/>
    <s v="已完工"/>
    <s v="完工超时"/>
    <d v="2026-08-19T21:00:00"/>
    <m/>
    <n v="0"/>
    <n v="3"/>
    <n v="1"/>
    <n v="0"/>
    <n v="1"/>
    <n v="0"/>
    <n v="1"/>
    <s v="完工超时"/>
    <n v="1"/>
  </r>
  <r>
    <x v="361"/>
    <x v="1"/>
    <x v="0"/>
    <s v="WH02"/>
    <d v="2026-08-17T10:45:00"/>
    <d v="2026-08-17T12:39:00"/>
    <d v="2026-08-19T10:00:00"/>
    <d v="2026-08-19T09:20:00"/>
    <d v="2026-08-19T15:00:00"/>
    <d v="2026-08-19T11:05:00"/>
    <s v="已完工"/>
    <s v="无"/>
    <m/>
    <m/>
    <n v="0"/>
    <n v="5"/>
    <n v="1"/>
    <n v="1"/>
    <n v="0"/>
    <n v="0"/>
    <n v="0"/>
    <s v="无"/>
    <n v="1"/>
  </r>
  <r>
    <x v="362"/>
    <x v="0"/>
    <x v="0"/>
    <s v="BJ02"/>
    <d v="2026-08-17T11:20:00"/>
    <d v="2026-08-17T13:48:00"/>
    <d v="2026-08-20T12:00:00"/>
    <d v="2026-08-20T11:19:00"/>
    <d v="2026-08-20T17:00:00"/>
    <d v="2026-08-20T13:11:00"/>
    <s v="已完工"/>
    <s v="无"/>
    <m/>
    <m/>
    <n v="0"/>
    <n v="5"/>
    <n v="1"/>
    <n v="1"/>
    <n v="0"/>
    <n v="0"/>
    <n v="0"/>
    <s v="无"/>
    <n v="1"/>
  </r>
  <r>
    <x v="363"/>
    <x v="1"/>
    <x v="1"/>
    <s v="WH01"/>
    <d v="2026-08-17T12:00:00"/>
    <d v="2026-08-17T14:35:00"/>
    <d v="2026-08-18T12:00:00"/>
    <d v="2026-08-18T11:20:00"/>
    <d v="2026-08-18T16:00:00"/>
    <d v="2026-08-18T13:46:00"/>
    <s v="已完工"/>
    <s v="无"/>
    <m/>
    <m/>
    <n v="0"/>
    <n v="4"/>
    <n v="1"/>
    <n v="1"/>
    <n v="0"/>
    <n v="0"/>
    <n v="0"/>
    <s v="无"/>
    <n v="1"/>
  </r>
  <r>
    <x v="364"/>
    <x v="1"/>
    <x v="0"/>
    <s v="WH02"/>
    <d v="2026-08-17T12:40:00"/>
    <d v="2026-08-17T15:44:00"/>
    <d v="2026-08-18T12:00:00"/>
    <d v="2026-08-18T12:42:00"/>
    <d v="2026-08-18T17:00:00"/>
    <d v="2026-08-18T13:55:00"/>
    <s v="已完工"/>
    <s v="上门超时"/>
    <d v="2026-08-18T12:00:00"/>
    <d v="2026-08-18T18:36:00"/>
    <n v="0"/>
    <n v="2"/>
    <n v="0"/>
    <n v="1"/>
    <n v="1"/>
    <n v="1"/>
    <n v="0"/>
    <s v="上门超时"/>
    <n v="1"/>
  </r>
  <r>
    <x v="365"/>
    <x v="2"/>
    <x v="0"/>
    <s v="CQ02"/>
    <d v="2026-08-17T12:50:00"/>
    <d v="2026-08-17T16:25:00"/>
    <d v="2026-08-19T17:00:00"/>
    <d v="2026-08-19T15:53:00"/>
    <d v="2026-08-19T22:00:00"/>
    <d v="2026-08-19T18:12:00"/>
    <s v="已完工"/>
    <s v="无"/>
    <m/>
    <m/>
    <n v="0"/>
    <n v="4"/>
    <n v="1"/>
    <n v="1"/>
    <n v="0"/>
    <n v="0"/>
    <n v="0"/>
    <s v="无"/>
    <n v="1"/>
  </r>
  <r>
    <x v="366"/>
    <x v="0"/>
    <x v="1"/>
    <s v="BJ01"/>
    <d v="2026-08-17T13:20:00"/>
    <d v="2026-08-18T11:20:00"/>
    <d v="2026-08-18T10:00:00"/>
    <d v="2026-08-18T12:30:00"/>
    <d v="2026-08-18T14:00:00"/>
    <d v="2026-08-18T13:25:00"/>
    <s v="已完工"/>
    <s v="派单超时"/>
    <d v="2026-08-18T10:00:00"/>
    <d v="2026-08-18T19:06:00"/>
    <n v="1"/>
    <n v="1"/>
    <n v="0"/>
    <n v="1"/>
    <n v="1"/>
    <n v="1"/>
    <n v="0"/>
    <s v="派单超时"/>
    <n v="1"/>
  </r>
  <r>
    <x v="367"/>
    <x v="0"/>
    <x v="1"/>
    <s v="BJ01"/>
    <d v="2026-08-17T14:00:00"/>
    <d v="2026-08-17T15:49:00"/>
    <d v="2026-08-18T12:00:00"/>
    <d v="2026-08-18T11:33:00"/>
    <d v="2026-08-18T16:00:00"/>
    <d v="2026-08-18T13:15:00"/>
    <s v="已完工"/>
    <s v="无"/>
    <m/>
    <m/>
    <n v="0"/>
    <n v="5"/>
    <n v="1"/>
    <n v="1"/>
    <n v="0"/>
    <n v="0"/>
    <n v="0"/>
    <s v="无"/>
    <n v="1"/>
  </r>
  <r>
    <x v="368"/>
    <x v="1"/>
    <x v="1"/>
    <s v="WH01"/>
    <d v="2026-08-17T14:15:00"/>
    <d v="2026-08-17T15:11:00"/>
    <d v="2026-08-18T17:00:00"/>
    <d v="2026-08-18T16:21:00"/>
    <d v="2026-08-18T21:00:00"/>
    <d v="2026-08-18T18:28:00"/>
    <s v="已完工"/>
    <s v="无"/>
    <m/>
    <m/>
    <n v="0"/>
    <m/>
    <n v="1"/>
    <n v="1"/>
    <n v="0"/>
    <n v="0"/>
    <n v="0"/>
    <s v="无"/>
    <n v="1"/>
  </r>
  <r>
    <x v="369"/>
    <x v="2"/>
    <x v="0"/>
    <s v="CQ02"/>
    <d v="2026-08-17T14:20:00"/>
    <d v="2026-08-17T15:01:00"/>
    <d v="2026-08-20T17:00:00"/>
    <d v="2026-08-20T16:48:00"/>
    <d v="2026-08-20T22:00:00"/>
    <d v="2026-08-20T18:31:00"/>
    <s v="已完工"/>
    <s v="无"/>
    <m/>
    <m/>
    <n v="0"/>
    <n v="5"/>
    <n v="1"/>
    <n v="1"/>
    <n v="0"/>
    <n v="0"/>
    <n v="0"/>
    <s v="无"/>
    <n v="1"/>
  </r>
  <r>
    <x v="370"/>
    <x v="2"/>
    <x v="0"/>
    <s v="CQ02"/>
    <d v="2026-08-17T15:05:00"/>
    <d v="2026-08-17T17:59:00"/>
    <d v="2026-08-19T15:00:00"/>
    <d v="2026-08-19T14:41:00"/>
    <d v="2026-08-19T20:00:00"/>
    <d v="2026-08-19T16:32:00"/>
    <s v="已完工"/>
    <s v="无"/>
    <m/>
    <m/>
    <n v="0"/>
    <n v="5"/>
    <n v="1"/>
    <n v="1"/>
    <n v="0"/>
    <n v="0"/>
    <n v="0"/>
    <s v="无"/>
    <n v="1"/>
  </r>
  <r>
    <x v="371"/>
    <x v="2"/>
    <x v="1"/>
    <s v="CQ01"/>
    <d v="2026-08-17T15:10:00"/>
    <d v="2026-08-17T17:43:00"/>
    <d v="2026-08-19T17:00:00"/>
    <d v="2026-08-19T15:56:00"/>
    <d v="2026-08-19T21:00:00"/>
    <d v="2026-08-19T17:23:00"/>
    <s v="已完工"/>
    <s v="无"/>
    <m/>
    <m/>
    <n v="0"/>
    <n v="5"/>
    <n v="1"/>
    <n v="1"/>
    <n v="0"/>
    <n v="0"/>
    <n v="0"/>
    <s v="无"/>
    <n v="1"/>
  </r>
  <r>
    <x v="372"/>
    <x v="2"/>
    <x v="0"/>
    <s v="CQ02"/>
    <d v="2026-08-17T16:10:00"/>
    <d v="2026-08-20T12:49:00"/>
    <d v="2026-08-20T12:00:00"/>
    <d v="2026-08-20T13:21:00"/>
    <d v="2026-08-20T17:00:00"/>
    <d v="2026-08-20T14:27:00"/>
    <s v="已完工"/>
    <s v="派单超时"/>
    <d v="2026-08-20T12:00:00"/>
    <d v="2026-08-20T15:06:00"/>
    <n v="1"/>
    <n v="1"/>
    <n v="0"/>
    <n v="1"/>
    <n v="1"/>
    <n v="1"/>
    <n v="0"/>
    <s v="派单超时"/>
    <n v="1"/>
  </r>
  <r>
    <x v="373"/>
    <x v="0"/>
    <x v="1"/>
    <s v="BJ01"/>
    <d v="2026-08-17T16:20:00"/>
    <d v="2026-08-17T17:49:00"/>
    <d v="2026-08-18T17:00:00"/>
    <d v="2026-08-18T16:29:00"/>
    <d v="2026-08-18T21:00:00"/>
    <d v="2026-08-18T18:46:00"/>
    <s v="已完工"/>
    <s v="无"/>
    <m/>
    <m/>
    <n v="0"/>
    <n v="5"/>
    <n v="1"/>
    <n v="1"/>
    <n v="0"/>
    <n v="0"/>
    <n v="0"/>
    <s v="无"/>
    <n v="1"/>
  </r>
  <r>
    <x v="374"/>
    <x v="1"/>
    <x v="2"/>
    <s v="WH01"/>
    <d v="2026-08-17T17:25:00"/>
    <d v="2026-08-17T19:41:00"/>
    <d v="2026-08-18T17:00:00"/>
    <d v="2026-08-18T16:11:00"/>
    <d v="2026-08-18T20:00:00"/>
    <d v="2026-08-18T17:29:00"/>
    <s v="已完工"/>
    <s v="无"/>
    <m/>
    <m/>
    <n v="0"/>
    <m/>
    <n v="1"/>
    <n v="1"/>
    <n v="0"/>
    <n v="0"/>
    <n v="0"/>
    <s v="无"/>
    <n v="1"/>
  </r>
  <r>
    <x v="375"/>
    <x v="1"/>
    <x v="1"/>
    <s v="WH02"/>
    <d v="2026-08-17T17:25:00"/>
    <d v="2026-08-17T18:38:00"/>
    <d v="2026-08-18T12:00:00"/>
    <d v="2026-08-18T11:14:00"/>
    <d v="2026-08-18T16:00:00"/>
    <d v="2026-08-18T13:25:00"/>
    <s v="已完工"/>
    <s v="无"/>
    <m/>
    <m/>
    <n v="0"/>
    <n v="4"/>
    <n v="1"/>
    <n v="1"/>
    <n v="0"/>
    <n v="0"/>
    <n v="0"/>
    <s v="无"/>
    <n v="1"/>
  </r>
  <r>
    <x v="376"/>
    <x v="2"/>
    <x v="0"/>
    <s v="CQ01"/>
    <d v="2026-08-18T08:15:00"/>
    <d v="2026-08-18T10:50:00"/>
    <d v="2026-08-20T15:00:00"/>
    <d v="2026-08-20T14:36:00"/>
    <d v="2026-08-20T20:00:00"/>
    <d v="2026-08-20T16:43:00"/>
    <s v="已完工"/>
    <s v="无"/>
    <m/>
    <m/>
    <n v="0"/>
    <n v="4"/>
    <n v="1"/>
    <n v="1"/>
    <n v="0"/>
    <n v="0"/>
    <n v="0"/>
    <s v="无"/>
    <n v="1"/>
  </r>
  <r>
    <x v="377"/>
    <x v="0"/>
    <x v="0"/>
    <s v="BJ01"/>
    <d v="2026-08-18T08:45:00"/>
    <d v="2026-08-18T09:57:00"/>
    <d v="2026-08-19T10:00:00"/>
    <d v="2026-08-19T09:12:00"/>
    <d v="2026-08-19T15:00:00"/>
    <d v="2026-08-19T11:34:00"/>
    <s v="已完工"/>
    <s v="无"/>
    <m/>
    <m/>
    <n v="0"/>
    <n v="4"/>
    <n v="1"/>
    <n v="1"/>
    <n v="0"/>
    <n v="0"/>
    <n v="0"/>
    <s v="无"/>
    <n v="1"/>
  </r>
  <r>
    <x v="378"/>
    <x v="1"/>
    <x v="0"/>
    <s v="WH01"/>
    <d v="2026-08-18T09:15:00"/>
    <d v="2026-08-18T11:25:00"/>
    <d v="2026-08-19T15:00:00"/>
    <d v="2026-08-19T14:20:00"/>
    <d v="2026-08-19T20:00:00"/>
    <d v="2026-08-19T15:14:00"/>
    <s v="已完工"/>
    <s v="无"/>
    <m/>
    <m/>
    <n v="0"/>
    <n v="5"/>
    <n v="1"/>
    <n v="1"/>
    <n v="0"/>
    <n v="0"/>
    <n v="0"/>
    <s v="无"/>
    <n v="1"/>
  </r>
  <r>
    <x v="379"/>
    <x v="0"/>
    <x v="1"/>
    <s v="BJ02"/>
    <d v="2026-08-18T11:30:00"/>
    <d v="2026-08-18T12:37:00"/>
    <d v="2026-08-20T10:00:00"/>
    <d v="2026-08-20T09:09:00"/>
    <d v="2026-08-20T14:00:00"/>
    <d v="2026-08-20T11:26:00"/>
    <s v="已完工"/>
    <s v="无"/>
    <m/>
    <m/>
    <n v="0"/>
    <m/>
    <n v="1"/>
    <n v="1"/>
    <n v="0"/>
    <n v="0"/>
    <n v="0"/>
    <s v="无"/>
    <n v="1"/>
  </r>
  <r>
    <x v="380"/>
    <x v="1"/>
    <x v="0"/>
    <s v="WH02"/>
    <d v="2026-08-18T11:35:00"/>
    <d v="2026-08-18T12:45:00"/>
    <d v="2026-08-19T12:00:00"/>
    <d v="2026-08-19T11:33:00"/>
    <d v="2026-08-19T17:00:00"/>
    <d v="2026-08-19T14:01:00"/>
    <s v="已完工"/>
    <s v="无"/>
    <m/>
    <m/>
    <n v="0"/>
    <n v="4"/>
    <n v="1"/>
    <n v="1"/>
    <n v="0"/>
    <n v="0"/>
    <n v="0"/>
    <s v="无"/>
    <n v="1"/>
  </r>
  <r>
    <x v="381"/>
    <x v="1"/>
    <x v="0"/>
    <s v="WH02"/>
    <d v="2026-08-18T12:15:00"/>
    <d v="2026-08-18T12:53:00"/>
    <d v="2026-08-19T12:00:00"/>
    <d v="2026-08-19T10:49:00"/>
    <d v="2026-08-19T17:00:00"/>
    <d v="2026-08-19T12:45:00"/>
    <s v="已完工"/>
    <s v="无"/>
    <m/>
    <m/>
    <n v="0"/>
    <n v="5"/>
    <n v="1"/>
    <n v="1"/>
    <n v="0"/>
    <n v="0"/>
    <n v="0"/>
    <s v="无"/>
    <n v="1"/>
  </r>
  <r>
    <x v="382"/>
    <x v="2"/>
    <x v="1"/>
    <s v="CQ02"/>
    <d v="2026-08-18T14:20:00"/>
    <d v="2026-08-18T17:22:00"/>
    <d v="2026-08-20T12:00:00"/>
    <d v="2026-08-20T12:34:00"/>
    <d v="2026-08-20T16:00:00"/>
    <d v="2026-08-20T13:38:00"/>
    <s v="已完工"/>
    <s v="上门超时"/>
    <d v="2026-08-20T12:00:00"/>
    <m/>
    <n v="1"/>
    <m/>
    <n v="0"/>
    <n v="1"/>
    <n v="1"/>
    <n v="0"/>
    <n v="1"/>
    <s v="上门超时"/>
    <n v="1"/>
  </r>
  <r>
    <x v="383"/>
    <x v="0"/>
    <x v="2"/>
    <s v="BJ01"/>
    <d v="2026-08-18T14:55:00"/>
    <d v="2026-08-18T17:28:00"/>
    <d v="2026-08-20T17:00:00"/>
    <d v="2026-08-20T15:58:00"/>
    <d v="2026-08-20T20:00:00"/>
    <d v="2026-08-20T18:18:00"/>
    <s v="已完工"/>
    <s v="无"/>
    <m/>
    <m/>
    <n v="0"/>
    <n v="5"/>
    <n v="1"/>
    <n v="1"/>
    <n v="0"/>
    <n v="0"/>
    <n v="0"/>
    <s v="无"/>
    <n v="1"/>
  </r>
  <r>
    <x v="384"/>
    <x v="0"/>
    <x v="1"/>
    <s v="BJ01"/>
    <d v="2026-08-18T15:20:00"/>
    <d v="2026-08-18T18:32:00"/>
    <d v="2026-08-19T10:00:00"/>
    <d v="2026-08-19T09:40:00"/>
    <d v="2026-08-19T14:00:00"/>
    <d v="2026-08-19T11:54:00"/>
    <s v="已完工"/>
    <s v="无"/>
    <m/>
    <m/>
    <n v="0"/>
    <n v="4"/>
    <n v="1"/>
    <n v="1"/>
    <n v="0"/>
    <n v="0"/>
    <n v="0"/>
    <s v="无"/>
    <n v="1"/>
  </r>
  <r>
    <x v="385"/>
    <x v="1"/>
    <x v="0"/>
    <s v="WH01"/>
    <d v="2026-08-18T15:40:00"/>
    <d v="2026-08-18T19:19:00"/>
    <d v="2026-08-19T15:00:00"/>
    <d v="2026-08-19T14:44:00"/>
    <d v="2026-08-19T20:00:00"/>
    <d v="2026-08-19T15:53:00"/>
    <s v="已完工"/>
    <s v="无"/>
    <m/>
    <m/>
    <n v="0"/>
    <n v="5"/>
    <n v="1"/>
    <n v="1"/>
    <n v="0"/>
    <n v="0"/>
    <n v="0"/>
    <s v="无"/>
    <n v="1"/>
  </r>
  <r>
    <x v="386"/>
    <x v="0"/>
    <x v="1"/>
    <s v="BJ01"/>
    <d v="2026-08-18T16:40:00"/>
    <d v="2026-08-18T17:29:00"/>
    <d v="2026-08-19T15:00:00"/>
    <d v="2026-08-19T14:02:00"/>
    <d v="2026-08-19T19:00:00"/>
    <d v="2026-08-19T15:29:00"/>
    <s v="已完工"/>
    <s v="无"/>
    <m/>
    <m/>
    <n v="0"/>
    <n v="5"/>
    <n v="1"/>
    <n v="1"/>
    <n v="0"/>
    <n v="0"/>
    <n v="0"/>
    <s v="无"/>
    <n v="1"/>
  </r>
  <r>
    <x v="387"/>
    <x v="1"/>
    <x v="1"/>
    <s v="WH01"/>
    <d v="2026-08-18T18:00:00"/>
    <d v="2026-08-18T20:24:00"/>
    <d v="2026-08-19T10:00:00"/>
    <d v="2026-08-19T08:57:00"/>
    <d v="2026-08-19T14:00:00"/>
    <d v="2026-08-19T10:47:00"/>
    <s v="已完工"/>
    <s v="无"/>
    <m/>
    <m/>
    <n v="0"/>
    <n v="5"/>
    <n v="1"/>
    <n v="1"/>
    <n v="0"/>
    <n v="0"/>
    <n v="0"/>
    <s v="无"/>
    <n v="1"/>
  </r>
  <r>
    <x v="388"/>
    <x v="2"/>
    <x v="0"/>
    <s v="CQ02"/>
    <d v="2026-08-18T18:50:00"/>
    <d v="2026-08-18T21:49:00"/>
    <d v="2026-08-19T15:00:00"/>
    <d v="2026-08-19T13:56:00"/>
    <d v="2026-08-19T20:00:00"/>
    <d v="2026-08-19T15:04:00"/>
    <s v="已完工"/>
    <s v="无"/>
    <m/>
    <m/>
    <n v="0"/>
    <n v="5"/>
    <n v="1"/>
    <n v="1"/>
    <n v="0"/>
    <n v="0"/>
    <n v="0"/>
    <s v="无"/>
    <n v="1"/>
  </r>
  <r>
    <x v="389"/>
    <x v="2"/>
    <x v="1"/>
    <s v="CQ01"/>
    <d v="2026-08-19T08:05:00"/>
    <d v="2026-08-19T09:39:00"/>
    <d v="2026-08-20T10:00:00"/>
    <d v="2026-08-20T09:17:00"/>
    <d v="2026-08-20T14:00:00"/>
    <d v="2026-08-20T10:33:00"/>
    <s v="已完工"/>
    <s v="无"/>
    <m/>
    <m/>
    <n v="0"/>
    <n v="3"/>
    <n v="1"/>
    <n v="1"/>
    <n v="0"/>
    <n v="0"/>
    <n v="0"/>
    <s v="无"/>
    <n v="1"/>
  </r>
  <r>
    <x v="390"/>
    <x v="0"/>
    <x v="1"/>
    <s v="BJ01"/>
    <d v="2026-08-19T08:55:00"/>
    <d v="2026-08-19T10:27:00"/>
    <d v="2026-08-20T15:00:00"/>
    <d v="2026-08-20T14:01:00"/>
    <d v="2026-08-20T19:00:00"/>
    <d v="2026-08-20T16:21:00"/>
    <s v="已完工"/>
    <s v="无"/>
    <m/>
    <m/>
    <n v="0"/>
    <n v="3"/>
    <n v="1"/>
    <n v="1"/>
    <n v="0"/>
    <n v="0"/>
    <n v="0"/>
    <s v="无"/>
    <n v="1"/>
  </r>
  <r>
    <x v="391"/>
    <x v="0"/>
    <x v="1"/>
    <s v="BJ02"/>
    <d v="2026-08-19T11:20:00"/>
    <d v="2026-08-19T11:54:00"/>
    <d v="2026-08-20T12:00:00"/>
    <d v="2026-08-20T11:22:00"/>
    <d v="2026-08-20T16:00:00"/>
    <d v="2026-08-20T16:55:00"/>
    <s v="已完工"/>
    <s v="完工超时"/>
    <d v="2026-08-20T16:00:00"/>
    <m/>
    <n v="0"/>
    <m/>
    <n v="1"/>
    <n v="0"/>
    <n v="1"/>
    <n v="0"/>
    <n v="1"/>
    <s v="完工超时"/>
    <n v="1"/>
  </r>
  <r>
    <x v="392"/>
    <x v="2"/>
    <x v="1"/>
    <s v="CQ01"/>
    <d v="2026-08-19T11:35:00"/>
    <d v="2026-08-19T14:38:00"/>
    <d v="2026-08-20T15:00:00"/>
    <d v="2026-08-20T14:06:00"/>
    <d v="2026-08-20T19:00:00"/>
    <d v="2026-08-20T15:48:00"/>
    <s v="已完工"/>
    <s v="无"/>
    <m/>
    <m/>
    <n v="0"/>
    <n v="3"/>
    <n v="1"/>
    <n v="1"/>
    <n v="0"/>
    <n v="0"/>
    <n v="0"/>
    <s v="无"/>
    <n v="1"/>
  </r>
  <r>
    <x v="393"/>
    <x v="0"/>
    <x v="1"/>
    <s v="BJ01"/>
    <d v="2026-08-19T11:50:00"/>
    <d v="2026-08-19T15:38:00"/>
    <d v="2026-08-21T10:00:00"/>
    <d v="2026-08-21T09:12:00"/>
    <d v="2026-08-21T14:00:00"/>
    <d v="2026-08-21T10:42:00"/>
    <s v="已完工"/>
    <s v="无"/>
    <m/>
    <m/>
    <n v="0"/>
    <n v="4"/>
    <n v="1"/>
    <n v="1"/>
    <n v="0"/>
    <n v="0"/>
    <n v="0"/>
    <s v="无"/>
    <n v="1"/>
  </r>
  <r>
    <x v="394"/>
    <x v="0"/>
    <x v="1"/>
    <s v="BJ02"/>
    <d v="2026-08-19T12:20:00"/>
    <d v="2026-08-19T15:52:00"/>
    <d v="2026-08-20T10:00:00"/>
    <d v="2026-08-20T11:57:00"/>
    <d v="2026-08-20T14:00:00"/>
    <d v="2026-08-20T13:41:00"/>
    <s v="已完工"/>
    <s v="上门超时"/>
    <d v="2026-08-20T10:00:00"/>
    <d v="2026-08-20T19:12:00"/>
    <n v="1"/>
    <n v="2"/>
    <n v="0"/>
    <n v="1"/>
    <n v="1"/>
    <n v="1"/>
    <n v="0"/>
    <s v="上门超时"/>
    <n v="1"/>
  </r>
  <r>
    <x v="395"/>
    <x v="0"/>
    <x v="0"/>
    <s v="BJ01"/>
    <d v="2026-08-19T12:40:00"/>
    <d v="2026-08-19T16:04:00"/>
    <d v="2026-08-21T12:00:00"/>
    <d v="2026-08-21T11:20:00"/>
    <d v="2026-08-21T17:00:00"/>
    <d v="2026-08-21T13:40:00"/>
    <s v="已完工"/>
    <s v="无"/>
    <m/>
    <m/>
    <n v="0"/>
    <n v="5"/>
    <n v="1"/>
    <n v="1"/>
    <n v="0"/>
    <n v="0"/>
    <n v="0"/>
    <s v="无"/>
    <n v="1"/>
  </r>
  <r>
    <x v="396"/>
    <x v="1"/>
    <x v="1"/>
    <s v="WH02"/>
    <d v="2026-08-19T13:05:00"/>
    <d v="2026-08-19T15:19:00"/>
    <d v="2026-08-20T15:00:00"/>
    <d v="2026-08-20T14:10:00"/>
    <d v="2026-08-20T19:00:00"/>
    <d v="2026-08-20T16:00:00"/>
    <s v="已完工"/>
    <s v="无"/>
    <m/>
    <m/>
    <n v="0"/>
    <m/>
    <n v="1"/>
    <n v="1"/>
    <n v="0"/>
    <n v="0"/>
    <n v="0"/>
    <s v="无"/>
    <n v="1"/>
  </r>
  <r>
    <x v="397"/>
    <x v="1"/>
    <x v="2"/>
    <s v="WH02"/>
    <d v="2026-08-19T14:40:00"/>
    <d v="2026-08-19T16:13:00"/>
    <d v="2026-08-20T10:00:00"/>
    <d v="2026-08-20T09:14:00"/>
    <d v="2026-08-20T13:00:00"/>
    <d v="2026-08-20T10:22:00"/>
    <s v="已完工"/>
    <s v="无"/>
    <m/>
    <m/>
    <n v="0"/>
    <n v="5"/>
    <n v="1"/>
    <n v="1"/>
    <n v="0"/>
    <n v="0"/>
    <n v="0"/>
    <s v="无"/>
    <n v="1"/>
  </r>
  <r>
    <x v="398"/>
    <x v="0"/>
    <x v="0"/>
    <s v="BJ02"/>
    <d v="2026-08-19T15:35:00"/>
    <d v="2026-08-19T17:19:00"/>
    <d v="2026-08-20T10:00:00"/>
    <d v="2026-08-20T09:45:00"/>
    <d v="2026-08-20T15:00:00"/>
    <d v="2026-08-20T12:13:00"/>
    <s v="已完工"/>
    <s v="无"/>
    <m/>
    <m/>
    <n v="0"/>
    <n v="4"/>
    <n v="1"/>
    <n v="1"/>
    <n v="0"/>
    <n v="0"/>
    <n v="0"/>
    <s v="无"/>
    <n v="1"/>
  </r>
  <r>
    <x v="399"/>
    <x v="0"/>
    <x v="1"/>
    <s v="BJ01"/>
    <d v="2026-08-19T15:55:00"/>
    <d v="2026-08-21T11:16:00"/>
    <d v="2026-08-21T10:00:00"/>
    <d v="2026-08-21T12:46:00"/>
    <d v="2026-08-21T14:00:00"/>
    <d v="2026-08-21T14:28:00"/>
    <s v="已完工"/>
    <s v="派单超时"/>
    <d v="2026-08-21T10:00:00"/>
    <d v="2026-08-21T15:40:00"/>
    <n v="0"/>
    <n v="3"/>
    <n v="0"/>
    <n v="0"/>
    <n v="1"/>
    <n v="1"/>
    <n v="0"/>
    <s v="派单超时"/>
    <n v="1"/>
  </r>
  <r>
    <x v="400"/>
    <x v="1"/>
    <x v="0"/>
    <s v="WH01"/>
    <d v="2026-08-19T16:00:00"/>
    <m/>
    <d v="2026-08-21T15:00:00"/>
    <m/>
    <d v="2026-08-21T20:00:00"/>
    <m/>
    <s v="未完工"/>
    <s v="派单超时"/>
    <d v="2026-08-21T15:00:00"/>
    <m/>
    <n v="1"/>
    <m/>
    <n v="0"/>
    <n v="0"/>
    <n v="1"/>
    <n v="0"/>
    <n v="1"/>
    <s v="派单超时"/>
    <n v="1"/>
  </r>
  <r>
    <x v="401"/>
    <x v="0"/>
    <x v="1"/>
    <s v="BJ02"/>
    <d v="2026-08-19T16:10:00"/>
    <d v="2026-08-19T18:36:00"/>
    <d v="2026-08-20T15:00:00"/>
    <d v="2026-08-20T14:27:00"/>
    <d v="2026-08-20T19:00:00"/>
    <d v="2026-08-20T16:54:00"/>
    <s v="已完工"/>
    <s v="无"/>
    <m/>
    <m/>
    <n v="0"/>
    <n v="4"/>
    <n v="1"/>
    <n v="1"/>
    <n v="0"/>
    <n v="0"/>
    <n v="0"/>
    <s v="无"/>
    <n v="1"/>
  </r>
  <r>
    <x v="402"/>
    <x v="2"/>
    <x v="2"/>
    <s v="CQ01"/>
    <d v="2026-08-19T16:15:00"/>
    <d v="2026-08-19T20:12:00"/>
    <d v="2026-08-20T12:00:00"/>
    <d v="2026-08-20T11:06:00"/>
    <d v="2026-08-20T15:00:00"/>
    <d v="2026-08-20T13:16:00"/>
    <s v="已完工"/>
    <s v="无"/>
    <m/>
    <m/>
    <n v="0"/>
    <n v="4"/>
    <n v="1"/>
    <n v="1"/>
    <n v="0"/>
    <n v="0"/>
    <n v="0"/>
    <s v="无"/>
    <n v="1"/>
  </r>
  <r>
    <x v="403"/>
    <x v="1"/>
    <x v="1"/>
    <s v="WH02"/>
    <d v="2026-08-19T16:15:00"/>
    <d v="2026-08-19T19:39:00"/>
    <d v="2026-08-21T10:00:00"/>
    <d v="2026-08-21T09:22:00"/>
    <d v="2026-08-21T14:00:00"/>
    <d v="2026-08-21T14:28:00"/>
    <s v="已完工"/>
    <s v="完工超时"/>
    <d v="2026-08-21T14:00:00"/>
    <d v="2026-08-21T20:07:00"/>
    <n v="0"/>
    <n v="4"/>
    <n v="1"/>
    <n v="0"/>
    <n v="1"/>
    <n v="1"/>
    <n v="0"/>
    <s v="完工超时"/>
    <n v="1"/>
  </r>
  <r>
    <x v="404"/>
    <x v="0"/>
    <x v="0"/>
    <s v="BJ01"/>
    <d v="2026-08-19T16:20:00"/>
    <d v="2026-08-19T19:38:00"/>
    <d v="2026-08-20T15:00:00"/>
    <d v="2026-08-20T14:36:00"/>
    <d v="2026-08-20T20:00:00"/>
    <d v="2026-08-20T16:20:00"/>
    <s v="已完工"/>
    <s v="无"/>
    <m/>
    <m/>
    <n v="0"/>
    <n v="5"/>
    <n v="1"/>
    <n v="1"/>
    <n v="0"/>
    <n v="0"/>
    <n v="0"/>
    <s v="无"/>
    <n v="1"/>
  </r>
  <r>
    <x v="405"/>
    <x v="0"/>
    <x v="0"/>
    <s v="BJ02"/>
    <d v="2026-08-19T16:35:00"/>
    <d v="2026-08-19T18:12:00"/>
    <d v="2026-08-20T17:00:00"/>
    <d v="2026-08-20T16:12:00"/>
    <d v="2026-08-20T22:00:00"/>
    <d v="2026-08-20T18:09:00"/>
    <s v="已完工"/>
    <s v="无"/>
    <m/>
    <m/>
    <n v="0"/>
    <n v="5"/>
    <n v="1"/>
    <n v="1"/>
    <n v="0"/>
    <n v="0"/>
    <n v="0"/>
    <s v="无"/>
    <n v="1"/>
  </r>
  <r>
    <x v="406"/>
    <x v="1"/>
    <x v="1"/>
    <s v="WH02"/>
    <d v="2026-08-19T16:35:00"/>
    <d v="2026-08-19T19:51:00"/>
    <d v="2026-08-22T15:00:00"/>
    <d v="2026-08-22T14:38:00"/>
    <d v="2026-08-22T19:00:00"/>
    <d v="2026-08-22T16:13:00"/>
    <s v="已完工"/>
    <s v="无"/>
    <m/>
    <m/>
    <n v="0"/>
    <n v="5"/>
    <n v="1"/>
    <n v="1"/>
    <n v="0"/>
    <n v="0"/>
    <n v="0"/>
    <s v="无"/>
    <n v="1"/>
  </r>
  <r>
    <x v="407"/>
    <x v="1"/>
    <x v="0"/>
    <s v="WH02"/>
    <d v="2026-08-19T16:50:00"/>
    <d v="2026-08-19T20:11:00"/>
    <d v="2026-08-21T17:00:00"/>
    <d v="2026-08-21T17:18:00"/>
    <d v="2026-08-21T22:00:00"/>
    <d v="2026-08-21T18:50:00"/>
    <s v="已完工"/>
    <s v="上门超时"/>
    <d v="2026-08-21T17:00:00"/>
    <d v="2026-08-22T00:09:00"/>
    <n v="0"/>
    <n v="4"/>
    <n v="0"/>
    <n v="1"/>
    <n v="1"/>
    <n v="1"/>
    <n v="0"/>
    <s v="上门超时"/>
    <n v="1"/>
  </r>
  <r>
    <x v="408"/>
    <x v="0"/>
    <x v="1"/>
    <s v="BJ02"/>
    <d v="2026-08-19T17:40:00"/>
    <d v="2026-08-19T18:48:00"/>
    <d v="2026-08-21T17:00:00"/>
    <d v="2026-08-21T16:07:00"/>
    <d v="2026-08-21T21:00:00"/>
    <d v="2026-08-21T18:11:00"/>
    <s v="已完工"/>
    <s v="无"/>
    <m/>
    <m/>
    <n v="0"/>
    <n v="5"/>
    <n v="1"/>
    <n v="1"/>
    <n v="0"/>
    <n v="0"/>
    <n v="0"/>
    <s v="无"/>
    <n v="1"/>
  </r>
  <r>
    <x v="409"/>
    <x v="2"/>
    <x v="0"/>
    <s v="CQ02"/>
    <d v="2026-08-19T18:15:00"/>
    <d v="2026-08-19T21:17:00"/>
    <d v="2026-08-22T15:00:00"/>
    <d v="2026-08-22T14:14:00"/>
    <d v="2026-08-22T20:00:00"/>
    <d v="2026-08-22T16:40:00"/>
    <s v="已完工"/>
    <s v="无"/>
    <m/>
    <m/>
    <n v="0"/>
    <n v="4"/>
    <n v="1"/>
    <n v="1"/>
    <n v="0"/>
    <n v="0"/>
    <n v="0"/>
    <s v="无"/>
    <n v="1"/>
  </r>
  <r>
    <x v="410"/>
    <x v="0"/>
    <x v="1"/>
    <s v="BJ01"/>
    <d v="2026-08-20T08:40:00"/>
    <d v="2026-08-21T11:20:00"/>
    <d v="2026-08-21T10:00:00"/>
    <d v="2026-08-21T12:34:00"/>
    <d v="2026-08-21T14:00:00"/>
    <d v="2026-08-21T13:43:00"/>
    <s v="已完工"/>
    <s v="派单超时"/>
    <d v="2026-08-21T10:00:00"/>
    <d v="2026-08-21T19:12:00"/>
    <n v="0"/>
    <m/>
    <n v="0"/>
    <n v="1"/>
    <n v="1"/>
    <n v="1"/>
    <n v="0"/>
    <s v="派单超时"/>
    <n v="1"/>
  </r>
  <r>
    <x v="411"/>
    <x v="0"/>
    <x v="0"/>
    <s v="BJ02"/>
    <d v="2026-08-20T09:10:00"/>
    <d v="2026-08-20T11:36:00"/>
    <d v="2026-08-22T10:00:00"/>
    <d v="2026-08-22T08:47:00"/>
    <d v="2026-08-22T15:00:00"/>
    <d v="2026-08-22T10:40:00"/>
    <s v="已完工"/>
    <s v="无"/>
    <m/>
    <m/>
    <n v="0"/>
    <m/>
    <n v="1"/>
    <n v="1"/>
    <n v="0"/>
    <n v="0"/>
    <n v="0"/>
    <s v="无"/>
    <n v="1"/>
  </r>
  <r>
    <x v="412"/>
    <x v="2"/>
    <x v="1"/>
    <s v="CQ02"/>
    <d v="2026-08-20T09:25:00"/>
    <d v="2026-08-20T10:56:00"/>
    <d v="2026-08-22T12:00:00"/>
    <d v="2026-08-22T11:17:00"/>
    <d v="2026-08-22T16:00:00"/>
    <d v="2026-08-22T13:37:00"/>
    <s v="已完工"/>
    <s v="无"/>
    <m/>
    <m/>
    <n v="0"/>
    <n v="5"/>
    <n v="1"/>
    <n v="1"/>
    <n v="0"/>
    <n v="0"/>
    <n v="0"/>
    <s v="无"/>
    <n v="1"/>
  </r>
  <r>
    <x v="413"/>
    <x v="0"/>
    <x v="0"/>
    <s v="BJ01"/>
    <d v="2026-08-20T09:50:00"/>
    <d v="2026-08-20T13:01:00"/>
    <d v="2026-08-21T10:00:00"/>
    <d v="2026-08-21T09:42:00"/>
    <d v="2026-08-21T15:00:00"/>
    <d v="2026-08-21T11:53:00"/>
    <s v="已完工"/>
    <s v="无"/>
    <m/>
    <m/>
    <n v="0"/>
    <n v="4"/>
    <n v="1"/>
    <n v="1"/>
    <n v="0"/>
    <n v="0"/>
    <n v="0"/>
    <s v="无"/>
    <n v="1"/>
  </r>
  <r>
    <x v="414"/>
    <x v="0"/>
    <x v="0"/>
    <s v="BJ02"/>
    <d v="2026-08-20T09:55:00"/>
    <d v="2026-08-20T12:13:00"/>
    <d v="2026-08-22T12:00:00"/>
    <d v="2026-08-22T11:15:00"/>
    <d v="2026-08-22T17:00:00"/>
    <d v="2026-08-22T13:18:00"/>
    <s v="已完工"/>
    <s v="无"/>
    <m/>
    <m/>
    <n v="0"/>
    <n v="3"/>
    <n v="1"/>
    <n v="1"/>
    <n v="0"/>
    <n v="0"/>
    <n v="0"/>
    <s v="无"/>
    <n v="1"/>
  </r>
  <r>
    <x v="415"/>
    <x v="2"/>
    <x v="2"/>
    <s v="CQ01"/>
    <d v="2026-08-20T10:05:00"/>
    <d v="2026-08-20T12:47:00"/>
    <d v="2026-08-22T10:00:00"/>
    <d v="2026-08-22T11:34:00"/>
    <d v="2026-08-22T13:00:00"/>
    <d v="2026-08-22T12:26:00"/>
    <s v="已完工"/>
    <s v="上门超时"/>
    <d v="2026-08-22T10:00:00"/>
    <d v="2026-08-22T17:57:00"/>
    <n v="1"/>
    <n v="1"/>
    <n v="0"/>
    <n v="1"/>
    <n v="1"/>
    <n v="1"/>
    <n v="0"/>
    <s v="上门超时"/>
    <n v="1"/>
  </r>
  <r>
    <x v="416"/>
    <x v="2"/>
    <x v="0"/>
    <s v="CQ01"/>
    <d v="2026-08-20T10:10:00"/>
    <d v="2026-08-20T10:46:00"/>
    <d v="2026-08-21T12:00:00"/>
    <d v="2026-08-21T10:57:00"/>
    <d v="2026-08-21T17:00:00"/>
    <d v="2026-08-21T19:17:00"/>
    <s v="已完工"/>
    <s v="完工超时"/>
    <d v="2026-08-21T17:00:00"/>
    <m/>
    <n v="0"/>
    <n v="4"/>
    <n v="1"/>
    <n v="0"/>
    <n v="1"/>
    <n v="0"/>
    <n v="1"/>
    <s v="完工超时"/>
    <n v="1"/>
  </r>
  <r>
    <x v="417"/>
    <x v="0"/>
    <x v="1"/>
    <s v="BJ01"/>
    <d v="2026-08-20T10:15:00"/>
    <d v="2026-08-20T11:18:00"/>
    <d v="2026-08-21T10:00:00"/>
    <d v="2026-08-21T08:50:00"/>
    <d v="2026-08-21T14:00:00"/>
    <d v="2026-08-21T11:05:00"/>
    <s v="已完工"/>
    <s v="无"/>
    <m/>
    <m/>
    <n v="0"/>
    <m/>
    <n v="1"/>
    <n v="1"/>
    <n v="0"/>
    <n v="0"/>
    <n v="0"/>
    <s v="无"/>
    <n v="1"/>
  </r>
  <r>
    <x v="418"/>
    <x v="1"/>
    <x v="1"/>
    <s v="WH02"/>
    <d v="2026-08-20T10:15:00"/>
    <d v="2026-08-20T12:59:00"/>
    <d v="2026-08-21T12:00:00"/>
    <d v="2026-08-21T10:49:00"/>
    <d v="2026-08-21T16:00:00"/>
    <d v="2026-08-21T12:55:00"/>
    <s v="已完工"/>
    <s v="无"/>
    <m/>
    <m/>
    <n v="0"/>
    <m/>
    <n v="1"/>
    <n v="1"/>
    <n v="0"/>
    <n v="0"/>
    <n v="0"/>
    <s v="无"/>
    <n v="1"/>
  </r>
  <r>
    <x v="419"/>
    <x v="1"/>
    <x v="0"/>
    <s v="WH02"/>
    <d v="2026-08-20T10:20:00"/>
    <d v="2026-08-20T10:51:00"/>
    <d v="2026-08-22T10:00:00"/>
    <d v="2026-08-22T09:10:00"/>
    <d v="2026-08-22T15:00:00"/>
    <d v="2026-08-22T10:00:00"/>
    <s v="已完工"/>
    <s v="无"/>
    <m/>
    <m/>
    <n v="0"/>
    <n v="4"/>
    <n v="1"/>
    <n v="1"/>
    <n v="0"/>
    <n v="0"/>
    <n v="0"/>
    <s v="无"/>
    <n v="1"/>
  </r>
  <r>
    <x v="420"/>
    <x v="2"/>
    <x v="0"/>
    <s v="CQ01"/>
    <d v="2026-08-20T11:40:00"/>
    <d v="2026-08-20T15:16:00"/>
    <d v="2026-08-21T15:00:00"/>
    <d v="2026-08-21T14:43:00"/>
    <d v="2026-08-21T20:00:00"/>
    <d v="2026-08-21T16:08:00"/>
    <s v="已完工"/>
    <s v="无"/>
    <m/>
    <m/>
    <n v="0"/>
    <n v="5"/>
    <n v="1"/>
    <n v="1"/>
    <n v="0"/>
    <n v="0"/>
    <n v="0"/>
    <s v="无"/>
    <n v="1"/>
  </r>
  <r>
    <x v="421"/>
    <x v="0"/>
    <x v="2"/>
    <s v="BJ02"/>
    <d v="2026-08-20T12:00:00"/>
    <d v="2026-08-20T13:41:00"/>
    <d v="2026-08-21T15:00:00"/>
    <d v="2026-08-21T16:21:00"/>
    <d v="2026-08-21T18:00:00"/>
    <d v="2026-08-21T18:50:00"/>
    <s v="已完工"/>
    <s v="上门超时"/>
    <d v="2026-08-21T15:00:00"/>
    <d v="2026-08-22T00:15:00"/>
    <n v="1"/>
    <n v="2"/>
    <n v="0"/>
    <n v="0"/>
    <n v="1"/>
    <n v="1"/>
    <n v="0"/>
    <s v="上门超时"/>
    <n v="1"/>
  </r>
  <r>
    <x v="422"/>
    <x v="2"/>
    <x v="0"/>
    <s v="CQ01"/>
    <d v="2026-08-20T12:15:00"/>
    <d v="2026-08-20T15:40:00"/>
    <d v="2026-08-22T10:00:00"/>
    <d v="2026-08-22T09:01:00"/>
    <d v="2026-08-22T15:00:00"/>
    <d v="2026-08-22T10:59:00"/>
    <s v="已完工"/>
    <s v="无"/>
    <m/>
    <m/>
    <n v="0"/>
    <m/>
    <n v="1"/>
    <n v="1"/>
    <n v="0"/>
    <n v="0"/>
    <n v="0"/>
    <s v="无"/>
    <n v="1"/>
  </r>
  <r>
    <x v="423"/>
    <x v="0"/>
    <x v="0"/>
    <s v="BJ02"/>
    <d v="2026-08-20T12:50:00"/>
    <d v="2026-08-20T15:34:00"/>
    <d v="2026-08-21T15:00:00"/>
    <d v="2026-08-21T13:50:00"/>
    <d v="2026-08-21T20:00:00"/>
    <d v="2026-08-21T15:01:00"/>
    <s v="已完工"/>
    <s v="无"/>
    <m/>
    <m/>
    <n v="0"/>
    <n v="5"/>
    <n v="1"/>
    <n v="1"/>
    <n v="0"/>
    <n v="0"/>
    <n v="0"/>
    <s v="无"/>
    <n v="1"/>
  </r>
  <r>
    <x v="424"/>
    <x v="0"/>
    <x v="2"/>
    <s v="BJ02"/>
    <d v="2026-08-20T13:25:00"/>
    <d v="2026-08-20T13:56:00"/>
    <d v="2026-08-21T17:00:00"/>
    <d v="2026-08-21T16:04:00"/>
    <d v="2026-08-21T20:00:00"/>
    <d v="2026-08-21T18:12:00"/>
    <s v="已完工"/>
    <s v="无"/>
    <m/>
    <m/>
    <n v="0"/>
    <n v="5"/>
    <n v="1"/>
    <n v="1"/>
    <n v="0"/>
    <n v="0"/>
    <n v="0"/>
    <s v="无"/>
    <n v="1"/>
  </r>
  <r>
    <x v="425"/>
    <x v="2"/>
    <x v="0"/>
    <s v="CQ02"/>
    <d v="2026-08-20T13:55:00"/>
    <m/>
    <d v="2026-08-22T12:00:00"/>
    <m/>
    <d v="2026-08-22T17:00:00"/>
    <m/>
    <s v="未完工"/>
    <s v="派单超时"/>
    <d v="2026-08-22T12:00:00"/>
    <m/>
    <n v="1"/>
    <m/>
    <n v="0"/>
    <n v="0"/>
    <n v="1"/>
    <n v="0"/>
    <n v="1"/>
    <s v="派单超时"/>
    <n v="1"/>
  </r>
  <r>
    <x v="426"/>
    <x v="0"/>
    <x v="0"/>
    <s v="BJ01"/>
    <d v="2026-08-20T14:05:00"/>
    <d v="2026-08-20T14:55:00"/>
    <d v="2026-08-21T10:00:00"/>
    <d v="2026-08-21T09:45:00"/>
    <d v="2026-08-21T15:00:00"/>
    <d v="2026-08-21T10:59:00"/>
    <s v="已完工"/>
    <s v="无"/>
    <m/>
    <m/>
    <n v="0"/>
    <m/>
    <n v="1"/>
    <n v="1"/>
    <n v="0"/>
    <n v="0"/>
    <n v="0"/>
    <s v="无"/>
    <n v="1"/>
  </r>
  <r>
    <x v="427"/>
    <x v="0"/>
    <x v="0"/>
    <s v="BJ02"/>
    <d v="2026-08-20T14:30:00"/>
    <d v="2026-08-20T17:11:00"/>
    <d v="2026-08-21T10:00:00"/>
    <d v="2026-08-21T09:30:00"/>
    <d v="2026-08-21T15:00:00"/>
    <d v="2026-08-21T11:33:00"/>
    <s v="已完工"/>
    <s v="无"/>
    <m/>
    <m/>
    <n v="0"/>
    <n v="5"/>
    <n v="1"/>
    <n v="1"/>
    <n v="0"/>
    <n v="0"/>
    <n v="0"/>
    <s v="无"/>
    <n v="1"/>
  </r>
  <r>
    <x v="428"/>
    <x v="2"/>
    <x v="0"/>
    <s v="CQ02"/>
    <d v="2026-08-20T14:30:00"/>
    <d v="2026-08-20T16:15:00"/>
    <d v="2026-08-22T15:00:00"/>
    <d v="2026-08-22T14:10:00"/>
    <d v="2026-08-22T20:00:00"/>
    <d v="2026-08-22T16:18:00"/>
    <s v="已完工"/>
    <s v="无"/>
    <m/>
    <m/>
    <n v="0"/>
    <n v="4"/>
    <n v="1"/>
    <n v="1"/>
    <n v="0"/>
    <n v="0"/>
    <n v="0"/>
    <s v="无"/>
    <n v="1"/>
  </r>
  <r>
    <x v="429"/>
    <x v="0"/>
    <x v="2"/>
    <s v="BJ02"/>
    <d v="2026-08-20T14:50:00"/>
    <d v="2026-08-20T17:27:00"/>
    <d v="2026-08-21T10:00:00"/>
    <d v="2026-08-21T10:45:00"/>
    <d v="2026-08-21T13:00:00"/>
    <d v="2026-08-21T12:58:00"/>
    <s v="已完工"/>
    <s v="上门超时"/>
    <d v="2026-08-21T10:00:00"/>
    <d v="2026-08-21T17:16:00"/>
    <n v="0"/>
    <m/>
    <n v="0"/>
    <n v="1"/>
    <n v="1"/>
    <n v="1"/>
    <n v="0"/>
    <s v="上门超时"/>
    <n v="1"/>
  </r>
  <r>
    <x v="430"/>
    <x v="0"/>
    <x v="1"/>
    <s v="BJ02"/>
    <d v="2026-08-20T16:20:00"/>
    <d v="2026-08-20T18:48:00"/>
    <d v="2026-08-22T17:00:00"/>
    <d v="2026-08-22T16:41:00"/>
    <d v="2026-08-22T21:00:00"/>
    <d v="2026-08-22T19:11:00"/>
    <s v="已完工"/>
    <s v="无"/>
    <m/>
    <m/>
    <n v="0"/>
    <n v="4"/>
    <n v="1"/>
    <n v="1"/>
    <n v="0"/>
    <n v="0"/>
    <n v="0"/>
    <s v="无"/>
    <n v="1"/>
  </r>
  <r>
    <x v="431"/>
    <x v="1"/>
    <x v="1"/>
    <s v="WH01"/>
    <d v="2026-08-20T16:30:00"/>
    <d v="2026-08-20T17:30:00"/>
    <d v="2026-08-23T17:00:00"/>
    <d v="2026-08-23T16:22:00"/>
    <d v="2026-08-23T21:00:00"/>
    <d v="2026-08-23T17:45:00"/>
    <s v="已完工"/>
    <s v="无"/>
    <m/>
    <m/>
    <n v="0"/>
    <n v="5"/>
    <n v="1"/>
    <n v="1"/>
    <n v="0"/>
    <n v="0"/>
    <n v="0"/>
    <s v="无"/>
    <n v="1"/>
  </r>
  <r>
    <x v="432"/>
    <x v="1"/>
    <x v="0"/>
    <s v="WH01"/>
    <d v="2026-08-20T17:05:00"/>
    <d v="2026-08-20T19:35:00"/>
    <d v="2026-08-21T15:00:00"/>
    <d v="2026-08-21T14:07:00"/>
    <d v="2026-08-21T20:00:00"/>
    <d v="2026-08-21T15:16:00"/>
    <s v="已完工"/>
    <s v="无"/>
    <m/>
    <m/>
    <n v="0"/>
    <n v="5"/>
    <n v="1"/>
    <n v="1"/>
    <n v="0"/>
    <n v="0"/>
    <n v="0"/>
    <s v="无"/>
    <n v="1"/>
  </r>
  <r>
    <x v="433"/>
    <x v="2"/>
    <x v="2"/>
    <s v="CQ01"/>
    <d v="2026-08-20T17:35:00"/>
    <d v="2026-08-20T19:43:00"/>
    <d v="2026-08-22T15:00:00"/>
    <d v="2026-08-22T13:56:00"/>
    <d v="2026-08-22T18:00:00"/>
    <d v="2026-08-22T19:47:00"/>
    <s v="已完工"/>
    <s v="完工超时"/>
    <d v="2026-08-22T18:00:00"/>
    <d v="2026-08-22T22:32:00"/>
    <n v="0"/>
    <n v="2"/>
    <n v="1"/>
    <n v="0"/>
    <n v="1"/>
    <n v="1"/>
    <n v="0"/>
    <s v="完工超时"/>
    <n v="1"/>
  </r>
  <r>
    <x v="434"/>
    <x v="1"/>
    <x v="0"/>
    <s v="WH01"/>
    <d v="2026-08-21T08:30:00"/>
    <d v="2026-08-21T09:15:00"/>
    <d v="2026-08-22T12:00:00"/>
    <d v="2026-08-22T11:12:00"/>
    <d v="2026-08-22T17:00:00"/>
    <d v="2026-08-22T12:37:00"/>
    <s v="已完工"/>
    <s v="无"/>
    <m/>
    <m/>
    <n v="0"/>
    <n v="3"/>
    <n v="1"/>
    <n v="1"/>
    <n v="0"/>
    <n v="0"/>
    <n v="0"/>
    <s v="无"/>
    <n v="1"/>
  </r>
  <r>
    <x v="435"/>
    <x v="2"/>
    <x v="0"/>
    <s v="CQ01"/>
    <d v="2026-08-21T08:35:00"/>
    <d v="2026-08-21T11:35:00"/>
    <d v="2026-08-22T17:00:00"/>
    <d v="2026-08-22T18:11:00"/>
    <d v="2026-08-22T22:00:00"/>
    <d v="2026-08-22T20:41:00"/>
    <s v="已完工"/>
    <s v="上门超时"/>
    <d v="2026-08-22T17:00:00"/>
    <d v="2026-08-22T23:09:00"/>
    <n v="0"/>
    <n v="5"/>
    <n v="0"/>
    <n v="1"/>
    <n v="1"/>
    <n v="1"/>
    <n v="0"/>
    <s v="上门超时"/>
    <n v="1"/>
  </r>
  <r>
    <x v="436"/>
    <x v="1"/>
    <x v="1"/>
    <s v="WH01"/>
    <d v="2026-08-21T09:35:00"/>
    <d v="2026-08-21T13:21:00"/>
    <d v="2026-08-23T10:00:00"/>
    <d v="2026-08-23T08:45:00"/>
    <d v="2026-08-23T14:00:00"/>
    <d v="2026-08-23T09:46:00"/>
    <s v="已完工"/>
    <s v="无"/>
    <m/>
    <m/>
    <n v="0"/>
    <n v="3"/>
    <n v="1"/>
    <n v="1"/>
    <n v="0"/>
    <n v="0"/>
    <n v="0"/>
    <s v="无"/>
    <n v="1"/>
  </r>
  <r>
    <x v="437"/>
    <x v="0"/>
    <x v="2"/>
    <s v="BJ01"/>
    <d v="2026-08-21T09:45:00"/>
    <d v="2026-08-21T12:21:00"/>
    <d v="2026-08-24T15:00:00"/>
    <d v="2026-08-24T14:40:00"/>
    <d v="2026-08-24T18:00:00"/>
    <d v="2026-08-24T15:43:00"/>
    <s v="已完工"/>
    <s v="无"/>
    <m/>
    <m/>
    <n v="0"/>
    <n v="4"/>
    <n v="1"/>
    <n v="1"/>
    <n v="0"/>
    <n v="0"/>
    <n v="0"/>
    <s v="无"/>
    <n v="1"/>
  </r>
  <r>
    <x v="438"/>
    <x v="0"/>
    <x v="1"/>
    <s v="BJ01"/>
    <d v="2026-08-21T09:50:00"/>
    <d v="2026-08-21T11:52:00"/>
    <d v="2026-08-22T10:00:00"/>
    <d v="2026-08-22T08:53:00"/>
    <d v="2026-08-22T14:00:00"/>
    <d v="2026-08-22T10:30:00"/>
    <s v="已完工"/>
    <s v="无"/>
    <m/>
    <m/>
    <n v="0"/>
    <m/>
    <n v="1"/>
    <n v="1"/>
    <n v="0"/>
    <n v="0"/>
    <n v="0"/>
    <s v="无"/>
    <n v="1"/>
  </r>
  <r>
    <x v="439"/>
    <x v="2"/>
    <x v="0"/>
    <s v="CQ01"/>
    <d v="2026-08-21T10:10:00"/>
    <d v="2026-08-21T13:47:00"/>
    <d v="2026-08-22T12:00:00"/>
    <d v="2026-08-22T11:06:00"/>
    <d v="2026-08-22T17:00:00"/>
    <d v="2026-08-22T19:49:00"/>
    <s v="已完工"/>
    <s v="完工超时"/>
    <d v="2026-08-22T17:00:00"/>
    <m/>
    <n v="0"/>
    <n v="4"/>
    <n v="1"/>
    <n v="0"/>
    <n v="1"/>
    <n v="0"/>
    <n v="1"/>
    <s v="完工超时"/>
    <n v="1"/>
  </r>
  <r>
    <x v="440"/>
    <x v="0"/>
    <x v="0"/>
    <s v="BJ01"/>
    <d v="2026-08-21T11:35:00"/>
    <d v="2026-08-21T13:32:00"/>
    <d v="2026-08-22T17:00:00"/>
    <d v="2026-08-22T16:11:00"/>
    <d v="2026-08-22T22:00:00"/>
    <d v="2026-08-22T18:15:00"/>
    <s v="已完工"/>
    <s v="无"/>
    <m/>
    <m/>
    <n v="0"/>
    <m/>
    <n v="1"/>
    <n v="1"/>
    <n v="0"/>
    <n v="0"/>
    <n v="0"/>
    <s v="无"/>
    <n v="1"/>
  </r>
  <r>
    <x v="441"/>
    <x v="0"/>
    <x v="1"/>
    <s v="BJ02"/>
    <d v="2026-08-21T11:50:00"/>
    <d v="2026-08-21T14:28:00"/>
    <d v="2026-08-22T12:00:00"/>
    <d v="2026-08-22T11:37:00"/>
    <d v="2026-08-22T16:00:00"/>
    <d v="2026-08-22T12:59:00"/>
    <s v="已完工"/>
    <s v="无"/>
    <m/>
    <m/>
    <n v="0"/>
    <n v="5"/>
    <n v="1"/>
    <n v="1"/>
    <n v="0"/>
    <n v="0"/>
    <n v="0"/>
    <s v="无"/>
    <n v="1"/>
  </r>
  <r>
    <x v="442"/>
    <x v="2"/>
    <x v="1"/>
    <s v="CQ01"/>
    <d v="2026-08-21T13:35:00"/>
    <d v="2026-08-21T16:50:00"/>
    <d v="2026-08-22T17:00:00"/>
    <d v="2026-08-22T16:26:00"/>
    <d v="2026-08-22T21:00:00"/>
    <d v="2026-08-22T17:46:00"/>
    <s v="已完工"/>
    <s v="无"/>
    <m/>
    <m/>
    <n v="0"/>
    <n v="5"/>
    <n v="1"/>
    <n v="1"/>
    <n v="0"/>
    <n v="0"/>
    <n v="0"/>
    <s v="无"/>
    <n v="1"/>
  </r>
  <r>
    <x v="443"/>
    <x v="2"/>
    <x v="0"/>
    <s v="CQ02"/>
    <d v="2026-08-21T14:10:00"/>
    <d v="2026-08-21T18:07:00"/>
    <d v="2026-08-22T12:00:00"/>
    <d v="2026-08-22T13:54:00"/>
    <d v="2026-08-22T17:00:00"/>
    <d v="2026-08-22T15:45:00"/>
    <s v="已完工"/>
    <s v="上门超时"/>
    <d v="2026-08-22T12:00:00"/>
    <d v="2026-08-22T18:30:00"/>
    <n v="0"/>
    <n v="5"/>
    <n v="0"/>
    <n v="1"/>
    <n v="1"/>
    <n v="1"/>
    <n v="0"/>
    <s v="上门超时"/>
    <n v="1"/>
  </r>
  <r>
    <x v="444"/>
    <x v="1"/>
    <x v="0"/>
    <s v="WH02"/>
    <d v="2026-08-21T15:05:00"/>
    <d v="2026-08-21T15:36:00"/>
    <d v="2026-08-22T10:00:00"/>
    <d v="2026-08-22T09:24:00"/>
    <d v="2026-08-22T15:00:00"/>
    <d v="2026-08-22T10:20:00"/>
    <s v="已完工"/>
    <s v="无"/>
    <m/>
    <m/>
    <n v="0"/>
    <n v="5"/>
    <n v="1"/>
    <n v="1"/>
    <n v="0"/>
    <n v="0"/>
    <n v="0"/>
    <s v="无"/>
    <n v="1"/>
  </r>
  <r>
    <x v="445"/>
    <x v="0"/>
    <x v="0"/>
    <s v="BJ02"/>
    <d v="2026-08-21T16:00:00"/>
    <d v="2026-08-21T17:17:00"/>
    <d v="2026-08-22T12:00:00"/>
    <d v="2026-08-22T11:29:00"/>
    <d v="2026-08-22T17:00:00"/>
    <d v="2026-08-22T13:57:00"/>
    <s v="已完工"/>
    <s v="无"/>
    <m/>
    <m/>
    <n v="0"/>
    <n v="5"/>
    <n v="1"/>
    <n v="1"/>
    <n v="0"/>
    <n v="0"/>
    <n v="0"/>
    <s v="无"/>
    <n v="1"/>
  </r>
  <r>
    <x v="446"/>
    <x v="0"/>
    <x v="0"/>
    <s v="BJ01"/>
    <d v="2026-08-21T16:15:00"/>
    <d v="2026-08-21T18:30:00"/>
    <d v="2026-08-23T17:00:00"/>
    <d v="2026-08-23T16:28:00"/>
    <d v="2026-08-23T22:00:00"/>
    <d v="2026-08-23T18:02:00"/>
    <s v="已完工"/>
    <s v="无"/>
    <m/>
    <m/>
    <n v="0"/>
    <n v="5"/>
    <n v="1"/>
    <n v="1"/>
    <n v="0"/>
    <n v="0"/>
    <n v="0"/>
    <s v="无"/>
    <n v="1"/>
  </r>
  <r>
    <x v="447"/>
    <x v="1"/>
    <x v="0"/>
    <s v="WH01"/>
    <d v="2026-08-21T16:20:00"/>
    <d v="2026-08-23T16:07:00"/>
    <d v="2026-08-23T15:00:00"/>
    <d v="2026-08-23T16:46:00"/>
    <d v="2026-08-23T20:00:00"/>
    <d v="2026-08-23T17:38:00"/>
    <s v="已完工"/>
    <s v="派单超时"/>
    <d v="2026-08-23T15:00:00"/>
    <d v="2026-08-23T19:29:00"/>
    <n v="0"/>
    <n v="3"/>
    <n v="0"/>
    <n v="1"/>
    <n v="1"/>
    <n v="1"/>
    <n v="0"/>
    <s v="派单超时"/>
    <n v="1"/>
  </r>
  <r>
    <x v="448"/>
    <x v="1"/>
    <x v="0"/>
    <s v="WH02"/>
    <d v="2026-08-21T18:10:00"/>
    <d v="2026-08-21T19:12:00"/>
    <d v="2026-08-22T10:00:00"/>
    <d v="2026-08-22T09:02:00"/>
    <d v="2026-08-22T15:00:00"/>
    <d v="2026-08-22T10:56:00"/>
    <s v="已完工"/>
    <s v="无"/>
    <m/>
    <m/>
    <n v="0"/>
    <n v="5"/>
    <n v="1"/>
    <n v="1"/>
    <n v="0"/>
    <n v="0"/>
    <n v="0"/>
    <s v="无"/>
    <n v="1"/>
  </r>
  <r>
    <x v="449"/>
    <x v="0"/>
    <x v="1"/>
    <s v="BJ01"/>
    <d v="2026-08-21T18:25:00"/>
    <d v="2026-08-21T20:06:00"/>
    <d v="2026-08-22T15:00:00"/>
    <d v="2026-08-22T14:05:00"/>
    <d v="2026-08-22T19:00:00"/>
    <d v="2026-08-22T16:06:00"/>
    <s v="已完工"/>
    <s v="无"/>
    <m/>
    <m/>
    <n v="0"/>
    <n v="5"/>
    <n v="1"/>
    <n v="1"/>
    <n v="0"/>
    <n v="0"/>
    <n v="0"/>
    <s v="无"/>
    <n v="1"/>
  </r>
  <r>
    <x v="450"/>
    <x v="0"/>
    <x v="1"/>
    <s v="BJ02"/>
    <d v="2026-08-22T08:35:00"/>
    <d v="2026-08-23T18:30:00"/>
    <d v="2026-08-23T17:00:00"/>
    <d v="2026-08-23T18:53:00"/>
    <d v="2026-08-23T21:00:00"/>
    <d v="2026-08-23T21:05:00"/>
    <s v="已完工"/>
    <s v="派单超时"/>
    <d v="2026-08-23T17:00:00"/>
    <d v="2026-08-24T00:43:00"/>
    <n v="0"/>
    <n v="2"/>
    <n v="0"/>
    <n v="0"/>
    <n v="1"/>
    <n v="1"/>
    <n v="0"/>
    <s v="派单超时"/>
    <n v="1"/>
  </r>
  <r>
    <x v="451"/>
    <x v="0"/>
    <x v="0"/>
    <s v="BJ01"/>
    <d v="2026-08-22T08:40:00"/>
    <d v="2026-08-22T09:14:00"/>
    <d v="2026-08-24T15:00:00"/>
    <d v="2026-08-24T14:21:00"/>
    <d v="2026-08-24T20:00:00"/>
    <d v="2026-08-24T15:12:00"/>
    <s v="已完工"/>
    <s v="无"/>
    <m/>
    <m/>
    <n v="0"/>
    <n v="5"/>
    <n v="1"/>
    <n v="1"/>
    <n v="0"/>
    <n v="0"/>
    <n v="0"/>
    <s v="无"/>
    <n v="1"/>
  </r>
  <r>
    <x v="452"/>
    <x v="0"/>
    <x v="1"/>
    <s v="BJ02"/>
    <d v="2026-08-22T09:05:00"/>
    <d v="2026-08-22T09:59:00"/>
    <d v="2026-08-23T12:00:00"/>
    <d v="2026-08-23T13:38:00"/>
    <d v="2026-08-23T16:00:00"/>
    <d v="2026-08-23T15:49:00"/>
    <s v="已完工"/>
    <s v="上门超时"/>
    <d v="2026-08-23T12:00:00"/>
    <m/>
    <n v="0"/>
    <n v="4"/>
    <n v="0"/>
    <n v="1"/>
    <n v="1"/>
    <n v="0"/>
    <n v="1"/>
    <s v="上门超时"/>
    <n v="1"/>
  </r>
  <r>
    <x v="453"/>
    <x v="0"/>
    <x v="2"/>
    <s v="BJ02"/>
    <d v="2026-08-22T09:30:00"/>
    <d v="2026-08-22T10:40:00"/>
    <d v="2026-08-24T12:00:00"/>
    <d v="2026-08-24T10:46:00"/>
    <d v="2026-08-24T15:00:00"/>
    <d v="2026-08-24T12:02:00"/>
    <s v="已完工"/>
    <s v="无"/>
    <m/>
    <m/>
    <n v="0"/>
    <n v="5"/>
    <n v="1"/>
    <n v="1"/>
    <n v="0"/>
    <n v="0"/>
    <n v="0"/>
    <s v="无"/>
    <n v="1"/>
  </r>
  <r>
    <x v="454"/>
    <x v="2"/>
    <x v="0"/>
    <s v="CQ01"/>
    <d v="2026-08-22T09:30:00"/>
    <d v="2026-08-22T10:52:00"/>
    <d v="2026-08-24T15:00:00"/>
    <d v="2026-08-24T14:33:00"/>
    <d v="2026-08-24T20:00:00"/>
    <d v="2026-08-24T16:51:00"/>
    <s v="已完工"/>
    <s v="无"/>
    <m/>
    <m/>
    <n v="0"/>
    <n v="5"/>
    <n v="1"/>
    <n v="1"/>
    <n v="0"/>
    <n v="0"/>
    <n v="0"/>
    <s v="无"/>
    <n v="1"/>
  </r>
  <r>
    <x v="455"/>
    <x v="2"/>
    <x v="0"/>
    <s v="CQ02"/>
    <d v="2026-08-22T10:05:00"/>
    <d v="2026-08-22T11:49:00"/>
    <d v="2026-08-25T15:00:00"/>
    <d v="2026-08-25T16:16:00"/>
    <d v="2026-08-25T20:00:00"/>
    <d v="2026-08-25T17:27:00"/>
    <s v="已完工"/>
    <s v="上门超时"/>
    <d v="2026-08-25T15:00:00"/>
    <d v="2026-08-25T20:33:00"/>
    <n v="0"/>
    <n v="3"/>
    <n v="0"/>
    <n v="1"/>
    <n v="1"/>
    <n v="1"/>
    <n v="0"/>
    <s v="上门超时"/>
    <n v="1"/>
  </r>
  <r>
    <x v="456"/>
    <x v="0"/>
    <x v="1"/>
    <s v="BJ01"/>
    <d v="2026-08-22T10:20:00"/>
    <d v="2026-08-22T11:24:00"/>
    <d v="2026-08-23T12:00:00"/>
    <d v="2026-08-23T11:29:00"/>
    <d v="2026-08-23T16:00:00"/>
    <d v="2026-08-23T13:15:00"/>
    <s v="已完工"/>
    <s v="无"/>
    <m/>
    <m/>
    <n v="0"/>
    <n v="5"/>
    <n v="1"/>
    <n v="1"/>
    <n v="0"/>
    <n v="0"/>
    <n v="0"/>
    <s v="无"/>
    <n v="1"/>
  </r>
  <r>
    <x v="457"/>
    <x v="0"/>
    <x v="0"/>
    <s v="BJ01"/>
    <d v="2026-08-22T10:30:00"/>
    <d v="2026-08-22T13:11:00"/>
    <d v="2026-08-24T15:00:00"/>
    <d v="2026-08-24T13:54:00"/>
    <d v="2026-08-24T20:00:00"/>
    <d v="2026-08-24T16:02:00"/>
    <s v="已完工"/>
    <s v="无"/>
    <m/>
    <m/>
    <n v="0"/>
    <n v="4"/>
    <n v="1"/>
    <n v="1"/>
    <n v="0"/>
    <n v="0"/>
    <n v="0"/>
    <s v="无"/>
    <n v="1"/>
  </r>
  <r>
    <x v="458"/>
    <x v="0"/>
    <x v="1"/>
    <s v="BJ01"/>
    <d v="2026-08-22T11:10:00"/>
    <d v="2026-08-22T12:15:00"/>
    <d v="2026-08-25T15:00:00"/>
    <d v="2026-08-25T14:47:00"/>
    <d v="2026-08-25T19:00:00"/>
    <d v="2026-08-25T15:54:00"/>
    <s v="已完工"/>
    <s v="无"/>
    <m/>
    <m/>
    <n v="0"/>
    <n v="5"/>
    <n v="1"/>
    <n v="1"/>
    <n v="0"/>
    <n v="0"/>
    <n v="0"/>
    <s v="无"/>
    <n v="1"/>
  </r>
  <r>
    <x v="459"/>
    <x v="2"/>
    <x v="0"/>
    <s v="CQ01"/>
    <d v="2026-08-22T11:20:00"/>
    <d v="2026-08-23T16:04:00"/>
    <d v="2026-08-23T15:00:00"/>
    <d v="2026-08-23T17:13:00"/>
    <d v="2026-08-23T20:00:00"/>
    <d v="2026-08-23T18:30:00"/>
    <s v="已完工"/>
    <s v="派单超时"/>
    <d v="2026-08-23T15:00:00"/>
    <d v="2026-08-23T21:57:00"/>
    <n v="0"/>
    <n v="2"/>
    <n v="0"/>
    <n v="1"/>
    <n v="1"/>
    <n v="1"/>
    <n v="0"/>
    <s v="派单超时"/>
    <n v="1"/>
  </r>
  <r>
    <x v="460"/>
    <x v="1"/>
    <x v="0"/>
    <s v="WH01"/>
    <d v="2026-08-22T11:20:00"/>
    <d v="2026-08-22T12:42:00"/>
    <d v="2026-08-24T10:00:00"/>
    <d v="2026-08-24T09:16:00"/>
    <d v="2026-08-24T15:00:00"/>
    <d v="2026-08-24T10:13:00"/>
    <s v="已完工"/>
    <s v="无"/>
    <m/>
    <m/>
    <n v="0"/>
    <n v="3"/>
    <n v="1"/>
    <n v="1"/>
    <n v="0"/>
    <n v="0"/>
    <n v="0"/>
    <s v="无"/>
    <n v="1"/>
  </r>
  <r>
    <x v="461"/>
    <x v="0"/>
    <x v="1"/>
    <s v="BJ01"/>
    <d v="2026-08-22T11:30:00"/>
    <d v="2026-08-22T14:30:00"/>
    <d v="2026-08-23T17:00:00"/>
    <d v="2026-08-23T15:56:00"/>
    <d v="2026-08-23T21:00:00"/>
    <d v="2026-08-23T17:24:00"/>
    <s v="已完工"/>
    <s v="无"/>
    <m/>
    <m/>
    <n v="0"/>
    <n v="5"/>
    <n v="1"/>
    <n v="1"/>
    <n v="0"/>
    <n v="0"/>
    <n v="0"/>
    <s v="无"/>
    <n v="1"/>
  </r>
  <r>
    <x v="462"/>
    <x v="2"/>
    <x v="0"/>
    <s v="CQ01"/>
    <d v="2026-08-22T11:55:00"/>
    <m/>
    <d v="2026-08-23T17:00:00"/>
    <m/>
    <d v="2026-08-23T22:00:00"/>
    <m/>
    <s v="未完工"/>
    <s v="派单超时"/>
    <d v="2026-08-23T17:00:00"/>
    <m/>
    <n v="1"/>
    <m/>
    <n v="0"/>
    <n v="0"/>
    <n v="1"/>
    <n v="0"/>
    <n v="1"/>
    <s v="派单超时"/>
    <n v="1"/>
  </r>
  <r>
    <x v="463"/>
    <x v="1"/>
    <x v="0"/>
    <s v="WH01"/>
    <d v="2026-08-22T12:35:00"/>
    <d v="2026-08-22T16:06:00"/>
    <d v="2026-08-23T17:00:00"/>
    <d v="2026-08-23T15:58:00"/>
    <d v="2026-08-23T22:00:00"/>
    <d v="2026-08-23T17:59:00"/>
    <s v="已完工"/>
    <s v="无"/>
    <m/>
    <m/>
    <n v="0"/>
    <n v="3"/>
    <n v="1"/>
    <n v="1"/>
    <n v="0"/>
    <n v="0"/>
    <n v="0"/>
    <s v="无"/>
    <n v="1"/>
  </r>
  <r>
    <x v="464"/>
    <x v="0"/>
    <x v="1"/>
    <s v="BJ01"/>
    <d v="2026-08-22T12:40:00"/>
    <d v="2026-08-22T15:09:00"/>
    <d v="2026-08-23T15:00:00"/>
    <m/>
    <d v="2026-08-23T19:00:00"/>
    <m/>
    <s v="未完工"/>
    <s v="上门超时"/>
    <d v="2026-08-23T15:00:00"/>
    <m/>
    <n v="1"/>
    <m/>
    <n v="0"/>
    <n v="0"/>
    <n v="1"/>
    <n v="0"/>
    <n v="1"/>
    <s v="上门超时"/>
    <n v="1"/>
  </r>
  <r>
    <x v="465"/>
    <x v="1"/>
    <x v="1"/>
    <s v="WH01"/>
    <d v="2026-08-22T12:50:00"/>
    <d v="2026-08-22T15:54:00"/>
    <d v="2026-08-23T12:00:00"/>
    <d v="2026-08-23T10:50:00"/>
    <d v="2026-08-23T16:00:00"/>
    <d v="2026-08-23T18:23:00"/>
    <s v="已完工"/>
    <s v="完工超时"/>
    <d v="2026-08-23T16:00:00"/>
    <d v="2026-08-23T21:16:00"/>
    <n v="1"/>
    <n v="3"/>
    <n v="1"/>
    <n v="0"/>
    <n v="1"/>
    <n v="1"/>
    <n v="0"/>
    <s v="完工超时"/>
    <n v="1"/>
  </r>
  <r>
    <x v="466"/>
    <x v="2"/>
    <x v="2"/>
    <s v="CQ01"/>
    <d v="2026-08-22T13:00:00"/>
    <d v="2026-08-22T14:23:00"/>
    <d v="2026-08-23T12:00:00"/>
    <d v="2026-08-23T11:43:00"/>
    <d v="2026-08-23T15:00:00"/>
    <d v="2026-08-23T13:17:00"/>
    <s v="已完工"/>
    <s v="无"/>
    <m/>
    <m/>
    <n v="0"/>
    <m/>
    <n v="1"/>
    <n v="1"/>
    <n v="0"/>
    <n v="0"/>
    <n v="0"/>
    <s v="无"/>
    <n v="1"/>
  </r>
  <r>
    <x v="467"/>
    <x v="1"/>
    <x v="1"/>
    <s v="WH01"/>
    <d v="2026-08-22T13:50:00"/>
    <d v="2026-08-22T15:08:00"/>
    <d v="2026-08-23T10:00:00"/>
    <d v="2026-08-23T09:00:00"/>
    <d v="2026-08-23T14:00:00"/>
    <d v="2026-08-23T10:17:00"/>
    <s v="已完工"/>
    <s v="无"/>
    <m/>
    <m/>
    <n v="0"/>
    <n v="5"/>
    <n v="1"/>
    <n v="1"/>
    <n v="0"/>
    <n v="0"/>
    <n v="0"/>
    <s v="无"/>
    <n v="1"/>
  </r>
  <r>
    <x v="468"/>
    <x v="0"/>
    <x v="0"/>
    <s v="BJ02"/>
    <d v="2026-08-22T14:45:00"/>
    <d v="2026-08-22T18:26:00"/>
    <d v="2026-08-24T10:00:00"/>
    <d v="2026-08-24T09:00:00"/>
    <d v="2026-08-24T15:00:00"/>
    <d v="2026-08-24T10:42:00"/>
    <s v="已完工"/>
    <s v="无"/>
    <m/>
    <m/>
    <n v="0"/>
    <n v="5"/>
    <n v="1"/>
    <n v="1"/>
    <n v="0"/>
    <n v="0"/>
    <n v="0"/>
    <s v="无"/>
    <n v="1"/>
  </r>
  <r>
    <x v="469"/>
    <x v="1"/>
    <x v="1"/>
    <s v="WH01"/>
    <d v="2026-08-22T14:45:00"/>
    <d v="2026-08-22T18:16:00"/>
    <d v="2026-08-23T17:00:00"/>
    <d v="2026-08-23T15:49:00"/>
    <d v="2026-08-23T21:00:00"/>
    <d v="2026-08-23T16:41:00"/>
    <s v="已完工"/>
    <s v="无"/>
    <m/>
    <m/>
    <n v="0"/>
    <n v="4"/>
    <n v="1"/>
    <n v="1"/>
    <n v="0"/>
    <n v="0"/>
    <n v="0"/>
    <s v="无"/>
    <n v="1"/>
  </r>
  <r>
    <x v="470"/>
    <x v="1"/>
    <x v="0"/>
    <s v="WH02"/>
    <d v="2026-08-22T14:45:00"/>
    <d v="2026-08-22T17:27:00"/>
    <d v="2026-08-23T12:00:00"/>
    <d v="2026-08-23T11:49:00"/>
    <d v="2026-08-23T17:00:00"/>
    <d v="2026-08-23T13:09:00"/>
    <s v="已完工"/>
    <s v="无"/>
    <m/>
    <m/>
    <n v="0"/>
    <m/>
    <n v="1"/>
    <n v="1"/>
    <n v="0"/>
    <n v="0"/>
    <n v="0"/>
    <s v="无"/>
    <n v="1"/>
  </r>
  <r>
    <x v="471"/>
    <x v="0"/>
    <x v="1"/>
    <s v="BJ02"/>
    <d v="2026-08-22T15:15:00"/>
    <d v="2026-08-22T16:17:00"/>
    <d v="2026-08-25T15:00:00"/>
    <d v="2026-08-25T14:03:00"/>
    <d v="2026-08-25T19:00:00"/>
    <d v="2026-08-25T16:04:00"/>
    <s v="已完工"/>
    <s v="无"/>
    <m/>
    <m/>
    <n v="0"/>
    <n v="4"/>
    <n v="1"/>
    <n v="1"/>
    <n v="0"/>
    <n v="0"/>
    <n v="0"/>
    <s v="无"/>
    <n v="1"/>
  </r>
  <r>
    <x v="472"/>
    <x v="0"/>
    <x v="1"/>
    <s v="BJ01"/>
    <d v="2026-08-22T15:30:00"/>
    <d v="2026-08-22T18:55:00"/>
    <d v="2026-08-24T10:00:00"/>
    <d v="2026-08-24T08:46:00"/>
    <d v="2026-08-24T14:00:00"/>
    <m/>
    <s v="未完工"/>
    <s v="完工超时"/>
    <d v="2026-08-24T14:00:00"/>
    <m/>
    <n v="0"/>
    <m/>
    <n v="1"/>
    <n v="0"/>
    <n v="1"/>
    <n v="0"/>
    <n v="1"/>
    <s v="完工超时"/>
    <n v="1"/>
  </r>
  <r>
    <x v="473"/>
    <x v="0"/>
    <x v="0"/>
    <s v="BJ02"/>
    <d v="2026-08-22T16:10:00"/>
    <d v="2026-08-22T17:22:00"/>
    <d v="2026-08-24T15:00:00"/>
    <d v="2026-08-24T14:29:00"/>
    <d v="2026-08-24T20:00:00"/>
    <d v="2026-08-24T16:49:00"/>
    <s v="已完工"/>
    <s v="无"/>
    <m/>
    <m/>
    <n v="0"/>
    <m/>
    <n v="1"/>
    <n v="1"/>
    <n v="0"/>
    <n v="0"/>
    <n v="0"/>
    <s v="无"/>
    <n v="1"/>
  </r>
  <r>
    <x v="474"/>
    <x v="0"/>
    <x v="2"/>
    <s v="BJ02"/>
    <d v="2026-08-22T16:25:00"/>
    <d v="2026-08-22T20:01:00"/>
    <d v="2026-08-23T15:00:00"/>
    <d v="2026-08-23T13:45:00"/>
    <d v="2026-08-23T18:00:00"/>
    <d v="2026-08-23T15:58:00"/>
    <s v="已完工"/>
    <s v="无"/>
    <m/>
    <m/>
    <n v="0"/>
    <n v="4"/>
    <n v="1"/>
    <n v="1"/>
    <n v="0"/>
    <n v="0"/>
    <n v="0"/>
    <s v="无"/>
    <n v="1"/>
  </r>
  <r>
    <x v="475"/>
    <x v="0"/>
    <x v="0"/>
    <s v="BJ02"/>
    <d v="2026-08-22T16:55:00"/>
    <d v="2026-08-22T19:12:00"/>
    <d v="2026-08-23T12:00:00"/>
    <d v="2026-08-23T11:23:00"/>
    <d v="2026-08-23T17:00:00"/>
    <d v="2026-08-23T12:37:00"/>
    <s v="已完工"/>
    <s v="无"/>
    <m/>
    <m/>
    <n v="0"/>
    <m/>
    <n v="1"/>
    <n v="1"/>
    <n v="0"/>
    <n v="0"/>
    <n v="0"/>
    <s v="无"/>
    <n v="1"/>
  </r>
  <r>
    <x v="476"/>
    <x v="1"/>
    <x v="1"/>
    <s v="WH02"/>
    <d v="2026-08-22T17:30:00"/>
    <d v="2026-08-22T20:08:00"/>
    <d v="2026-08-23T12:00:00"/>
    <d v="2026-08-23T11:48:00"/>
    <d v="2026-08-23T16:00:00"/>
    <d v="2026-08-23T16:42:00"/>
    <s v="已完工"/>
    <s v="完工超时"/>
    <d v="2026-08-23T16:00:00"/>
    <d v="2026-08-23T19:21:00"/>
    <n v="0"/>
    <n v="3"/>
    <n v="1"/>
    <n v="0"/>
    <n v="1"/>
    <n v="1"/>
    <n v="0"/>
    <s v="完工超时"/>
    <n v="1"/>
  </r>
  <r>
    <x v="477"/>
    <x v="1"/>
    <x v="2"/>
    <s v="WH02"/>
    <d v="2026-08-22T18:40:00"/>
    <d v="2026-08-22T21:43:00"/>
    <d v="2026-08-24T17:00:00"/>
    <d v="2026-08-24T16:01:00"/>
    <d v="2026-08-24T20:00:00"/>
    <d v="2026-08-24T17:27:00"/>
    <s v="已完工"/>
    <s v="无"/>
    <m/>
    <m/>
    <n v="0"/>
    <m/>
    <n v="1"/>
    <n v="1"/>
    <n v="0"/>
    <n v="0"/>
    <n v="0"/>
    <s v="无"/>
    <n v="1"/>
  </r>
  <r>
    <x v="478"/>
    <x v="1"/>
    <x v="0"/>
    <s v="WH02"/>
    <d v="2026-08-23T08:00:00"/>
    <d v="2026-08-23T08:37:00"/>
    <d v="2026-08-25T17:00:00"/>
    <d v="2026-08-25T18:03:00"/>
    <d v="2026-08-25T22:00:00"/>
    <d v="2026-08-25T18:54:00"/>
    <s v="已完工"/>
    <s v="上门超时"/>
    <d v="2026-08-25T17:00:00"/>
    <m/>
    <n v="0"/>
    <n v="3"/>
    <n v="0"/>
    <n v="1"/>
    <n v="1"/>
    <n v="0"/>
    <n v="1"/>
    <s v="上门超时"/>
    <n v="1"/>
  </r>
  <r>
    <x v="479"/>
    <x v="1"/>
    <x v="2"/>
    <s v="WH01"/>
    <d v="2026-08-23T08:30:00"/>
    <d v="2026-08-23T09:16:00"/>
    <d v="2026-08-26T17:00:00"/>
    <d v="2026-08-26T15:45:00"/>
    <d v="2026-08-26T20:00:00"/>
    <d v="2026-08-26T17:04:00"/>
    <s v="已完工"/>
    <s v="无"/>
    <m/>
    <m/>
    <n v="0"/>
    <n v="5"/>
    <n v="1"/>
    <n v="1"/>
    <n v="0"/>
    <n v="0"/>
    <n v="0"/>
    <s v="无"/>
    <n v="1"/>
  </r>
  <r>
    <x v="480"/>
    <x v="2"/>
    <x v="0"/>
    <s v="CQ01"/>
    <d v="2026-08-23T09:00:00"/>
    <d v="2026-08-23T11:58:00"/>
    <d v="2026-08-25T12:00:00"/>
    <d v="2026-08-25T10:48:00"/>
    <d v="2026-08-25T17:00:00"/>
    <d v="2026-08-25T12:02:00"/>
    <s v="已完工"/>
    <s v="无"/>
    <m/>
    <m/>
    <n v="0"/>
    <n v="3"/>
    <n v="1"/>
    <n v="1"/>
    <n v="0"/>
    <n v="0"/>
    <n v="0"/>
    <s v="无"/>
    <n v="1"/>
  </r>
  <r>
    <x v="481"/>
    <x v="1"/>
    <x v="2"/>
    <s v="WH01"/>
    <d v="2026-08-23T09:20:00"/>
    <d v="2026-08-23T12:48:00"/>
    <d v="2026-08-24T10:00:00"/>
    <d v="2026-08-24T08:55:00"/>
    <d v="2026-08-24T13:00:00"/>
    <d v="2026-08-24T09:49:00"/>
    <s v="已完工"/>
    <s v="无"/>
    <m/>
    <m/>
    <n v="0"/>
    <m/>
    <n v="1"/>
    <n v="1"/>
    <n v="0"/>
    <n v="0"/>
    <n v="0"/>
    <s v="无"/>
    <n v="1"/>
  </r>
  <r>
    <x v="482"/>
    <x v="2"/>
    <x v="0"/>
    <s v="CQ02"/>
    <d v="2026-08-23T10:30:00"/>
    <d v="2026-08-23T11:52:00"/>
    <d v="2026-08-24T17:00:00"/>
    <d v="2026-08-24T16:44:00"/>
    <d v="2026-08-24T22:00:00"/>
    <d v="2026-08-24T17:47:00"/>
    <s v="已完工"/>
    <s v="无"/>
    <m/>
    <m/>
    <n v="0"/>
    <n v="4"/>
    <n v="1"/>
    <n v="1"/>
    <n v="0"/>
    <n v="0"/>
    <n v="0"/>
    <s v="无"/>
    <n v="1"/>
  </r>
  <r>
    <x v="483"/>
    <x v="0"/>
    <x v="0"/>
    <s v="BJ02"/>
    <d v="2026-08-23T11:40:00"/>
    <d v="2026-08-23T15:01:00"/>
    <d v="2026-08-24T10:00:00"/>
    <d v="2026-08-24T09:11:00"/>
    <d v="2026-08-24T15:00:00"/>
    <m/>
    <s v="未完工"/>
    <s v="完工超时"/>
    <d v="2026-08-24T15:00:00"/>
    <m/>
    <n v="0"/>
    <m/>
    <n v="1"/>
    <n v="0"/>
    <n v="1"/>
    <n v="0"/>
    <n v="1"/>
    <s v="完工超时"/>
    <n v="1"/>
  </r>
  <r>
    <x v="484"/>
    <x v="1"/>
    <x v="2"/>
    <s v="WH01"/>
    <d v="2026-08-23T11:55:00"/>
    <d v="2026-08-23T14:50:00"/>
    <d v="2026-08-24T15:00:00"/>
    <d v="2026-08-24T15:51:00"/>
    <d v="2026-08-24T18:00:00"/>
    <d v="2026-08-24T18:06:00"/>
    <s v="已完工"/>
    <s v="上门超时"/>
    <d v="2026-08-24T15:00:00"/>
    <m/>
    <n v="0"/>
    <n v="3"/>
    <n v="0"/>
    <n v="0"/>
    <n v="1"/>
    <n v="0"/>
    <n v="1"/>
    <s v="上门超时"/>
    <n v="1"/>
  </r>
  <r>
    <x v="485"/>
    <x v="1"/>
    <x v="1"/>
    <s v="WH02"/>
    <d v="2026-08-23T12:00:00"/>
    <d v="2026-08-23T13:16:00"/>
    <d v="2026-08-24T15:00:00"/>
    <d v="2026-08-24T14:16:00"/>
    <d v="2026-08-24T19:00:00"/>
    <d v="2026-08-24T15:11:00"/>
    <s v="已完工"/>
    <s v="无"/>
    <m/>
    <m/>
    <n v="0"/>
    <n v="3"/>
    <n v="1"/>
    <n v="1"/>
    <n v="0"/>
    <n v="0"/>
    <n v="0"/>
    <s v="无"/>
    <n v="1"/>
  </r>
  <r>
    <x v="486"/>
    <x v="2"/>
    <x v="0"/>
    <s v="CQ02"/>
    <d v="2026-08-23T12:10:00"/>
    <d v="2026-08-26T13:14:00"/>
    <d v="2026-08-26T12:00:00"/>
    <d v="2026-08-26T14:49:00"/>
    <d v="2026-08-26T17:00:00"/>
    <d v="2026-08-26T15:55:00"/>
    <s v="已完工"/>
    <s v="派单超时"/>
    <d v="2026-08-26T12:00:00"/>
    <d v="2026-08-26T18:06:00"/>
    <n v="0"/>
    <n v="3"/>
    <n v="0"/>
    <n v="1"/>
    <n v="1"/>
    <n v="1"/>
    <n v="0"/>
    <s v="派单超时"/>
    <n v="1"/>
  </r>
  <r>
    <x v="487"/>
    <x v="1"/>
    <x v="0"/>
    <s v="WH02"/>
    <d v="2026-08-23T12:40:00"/>
    <d v="2026-08-23T13:56:00"/>
    <d v="2026-08-24T15:00:00"/>
    <d v="2026-08-24T14:42:00"/>
    <d v="2026-08-24T20:00:00"/>
    <d v="2026-08-24T16:14:00"/>
    <s v="已完工"/>
    <s v="无"/>
    <m/>
    <m/>
    <n v="0"/>
    <n v="5"/>
    <n v="1"/>
    <n v="1"/>
    <n v="0"/>
    <n v="0"/>
    <n v="0"/>
    <s v="无"/>
    <n v="1"/>
  </r>
  <r>
    <x v="488"/>
    <x v="0"/>
    <x v="1"/>
    <s v="BJ01"/>
    <d v="2026-08-23T12:45:00"/>
    <d v="2026-08-23T13:16:00"/>
    <d v="2026-08-26T15:00:00"/>
    <d v="2026-08-26T15:35:00"/>
    <d v="2026-08-26T19:00:00"/>
    <d v="2026-08-26T17:08:00"/>
    <s v="已完工"/>
    <s v="上门超时"/>
    <d v="2026-08-26T15:00:00"/>
    <d v="2026-08-26T22:48:00"/>
    <n v="0"/>
    <n v="2"/>
    <n v="0"/>
    <n v="1"/>
    <n v="1"/>
    <n v="1"/>
    <n v="0"/>
    <s v="上门超时"/>
    <n v="1"/>
  </r>
  <r>
    <x v="489"/>
    <x v="0"/>
    <x v="0"/>
    <s v="BJ01"/>
    <d v="2026-08-23T12:50:00"/>
    <d v="2026-08-23T15:06:00"/>
    <d v="2026-08-25T17:00:00"/>
    <d v="2026-08-25T16:44:00"/>
    <d v="2026-08-25T22:00:00"/>
    <d v="2026-08-25T17:38:00"/>
    <s v="已完工"/>
    <s v="无"/>
    <m/>
    <m/>
    <n v="0"/>
    <n v="5"/>
    <n v="1"/>
    <n v="1"/>
    <n v="0"/>
    <n v="0"/>
    <n v="0"/>
    <s v="无"/>
    <n v="1"/>
  </r>
  <r>
    <x v="490"/>
    <x v="0"/>
    <x v="1"/>
    <s v="BJ02"/>
    <d v="2026-08-23T13:15:00"/>
    <d v="2026-08-23T15:31:00"/>
    <d v="2026-08-25T12:00:00"/>
    <d v="2026-08-25T10:56:00"/>
    <d v="2026-08-25T16:00:00"/>
    <d v="2026-08-25T12:00:00"/>
    <s v="已完工"/>
    <s v="无"/>
    <m/>
    <m/>
    <n v="0"/>
    <n v="5"/>
    <n v="1"/>
    <n v="1"/>
    <n v="0"/>
    <n v="0"/>
    <n v="0"/>
    <s v="无"/>
    <n v="1"/>
  </r>
  <r>
    <x v="491"/>
    <x v="0"/>
    <x v="1"/>
    <s v="BJ01"/>
    <d v="2026-08-23T13:30:00"/>
    <d v="2026-08-23T16:37:00"/>
    <d v="2026-08-25T12:00:00"/>
    <d v="2026-08-25T11:35:00"/>
    <d v="2026-08-25T16:00:00"/>
    <d v="2026-08-25T12:54:00"/>
    <s v="已完工"/>
    <s v="无"/>
    <m/>
    <m/>
    <n v="0"/>
    <n v="4"/>
    <n v="1"/>
    <n v="1"/>
    <n v="0"/>
    <n v="0"/>
    <n v="0"/>
    <s v="无"/>
    <n v="1"/>
  </r>
  <r>
    <x v="492"/>
    <x v="0"/>
    <x v="2"/>
    <s v="BJ01"/>
    <d v="2026-08-23T14:20:00"/>
    <d v="2026-08-23T15:52:00"/>
    <d v="2026-08-24T10:00:00"/>
    <d v="2026-08-24T09:29:00"/>
    <d v="2026-08-24T13:00:00"/>
    <d v="2026-08-24T11:04:00"/>
    <s v="已完工"/>
    <s v="无"/>
    <m/>
    <m/>
    <n v="0"/>
    <m/>
    <n v="1"/>
    <n v="1"/>
    <n v="0"/>
    <n v="0"/>
    <n v="0"/>
    <s v="无"/>
    <n v="1"/>
  </r>
  <r>
    <x v="493"/>
    <x v="1"/>
    <x v="0"/>
    <s v="WH02"/>
    <d v="2026-08-23T15:10:00"/>
    <d v="2026-08-23T17:48:00"/>
    <d v="2026-08-24T12:00:00"/>
    <d v="2026-08-24T11:30:00"/>
    <d v="2026-08-24T17:00:00"/>
    <d v="2026-08-24T12:52:00"/>
    <s v="已完工"/>
    <s v="无"/>
    <m/>
    <m/>
    <n v="0"/>
    <m/>
    <n v="1"/>
    <n v="1"/>
    <n v="0"/>
    <n v="0"/>
    <n v="0"/>
    <s v="无"/>
    <n v="1"/>
  </r>
  <r>
    <x v="494"/>
    <x v="0"/>
    <x v="0"/>
    <s v="BJ01"/>
    <d v="2026-08-23T16:25:00"/>
    <d v="2026-08-23T19:31:00"/>
    <d v="2026-08-24T15:00:00"/>
    <d v="2026-08-24T14:21:00"/>
    <d v="2026-08-24T20:00:00"/>
    <d v="2026-08-24T16:27:00"/>
    <s v="已完工"/>
    <s v="无"/>
    <m/>
    <m/>
    <n v="0"/>
    <n v="5"/>
    <n v="1"/>
    <n v="1"/>
    <n v="0"/>
    <n v="0"/>
    <n v="0"/>
    <s v="无"/>
    <n v="1"/>
  </r>
  <r>
    <x v="495"/>
    <x v="1"/>
    <x v="2"/>
    <s v="WH02"/>
    <d v="2026-08-23T16:25:00"/>
    <d v="2026-08-24T16:48:00"/>
    <d v="2026-08-24T15:00:00"/>
    <d v="2026-08-24T18:42:00"/>
    <d v="2026-08-24T18:00:00"/>
    <d v="2026-08-24T20:59:00"/>
    <s v="已完工"/>
    <s v="派单超时"/>
    <d v="2026-08-24T15:00:00"/>
    <m/>
    <n v="0"/>
    <n v="4"/>
    <n v="0"/>
    <n v="0"/>
    <n v="1"/>
    <n v="0"/>
    <n v="1"/>
    <s v="派单超时"/>
    <n v="1"/>
  </r>
  <r>
    <x v="496"/>
    <x v="1"/>
    <x v="1"/>
    <s v="WH01"/>
    <d v="2026-08-23T17:05:00"/>
    <d v="2026-08-23T19:40:00"/>
    <d v="2026-08-25T12:00:00"/>
    <d v="2026-08-25T11:48:00"/>
    <d v="2026-08-25T16:00:00"/>
    <d v="2026-08-25T13:32:00"/>
    <s v="已完工"/>
    <s v="无"/>
    <m/>
    <m/>
    <n v="0"/>
    <m/>
    <n v="1"/>
    <n v="1"/>
    <n v="0"/>
    <n v="0"/>
    <n v="0"/>
    <s v="无"/>
    <n v="1"/>
  </r>
  <r>
    <x v="497"/>
    <x v="2"/>
    <x v="1"/>
    <s v="CQ02"/>
    <d v="2026-08-23T17:20:00"/>
    <d v="2026-08-23T19:07:00"/>
    <d v="2026-08-24T17:00:00"/>
    <d v="2026-08-24T15:57:00"/>
    <d v="2026-08-24T21:00:00"/>
    <d v="2026-08-24T18:25:00"/>
    <s v="已完工"/>
    <s v="无"/>
    <m/>
    <m/>
    <n v="0"/>
    <n v="3"/>
    <n v="1"/>
    <n v="1"/>
    <n v="0"/>
    <n v="0"/>
    <n v="0"/>
    <s v="无"/>
    <n v="1"/>
  </r>
  <r>
    <x v="498"/>
    <x v="0"/>
    <x v="1"/>
    <s v="BJ02"/>
    <d v="2026-08-23T17:35:00"/>
    <d v="2026-08-23T20:20:00"/>
    <d v="2026-08-24T12:00:00"/>
    <d v="2026-08-24T12:54:00"/>
    <d v="2026-08-24T16:00:00"/>
    <d v="2026-08-24T14:58:00"/>
    <s v="已完工"/>
    <s v="上门超时"/>
    <d v="2026-08-24T12:00:00"/>
    <d v="2026-08-24T19:28:00"/>
    <n v="1"/>
    <m/>
    <n v="0"/>
    <n v="1"/>
    <n v="1"/>
    <n v="1"/>
    <n v="0"/>
    <s v="上门超时"/>
    <n v="1"/>
  </r>
  <r>
    <x v="499"/>
    <x v="0"/>
    <x v="0"/>
    <s v="BJ01"/>
    <d v="2026-08-23T18:15:00"/>
    <d v="2026-08-23T19:00:00"/>
    <d v="2026-08-25T15:00:00"/>
    <d v="2026-08-25T14:25:00"/>
    <d v="2026-08-25T20:00:00"/>
    <d v="2026-08-25T16:23:00"/>
    <s v="已完工"/>
    <s v="无"/>
    <m/>
    <m/>
    <n v="0"/>
    <n v="3"/>
    <n v="1"/>
    <n v="1"/>
    <n v="0"/>
    <n v="0"/>
    <n v="0"/>
    <s v="无"/>
    <n v="1"/>
  </r>
  <r>
    <x v="500"/>
    <x v="2"/>
    <x v="1"/>
    <s v="CQ01"/>
    <d v="2026-08-23T18:50:00"/>
    <d v="2026-08-23T20:38:00"/>
    <d v="2026-08-25T10:00:00"/>
    <d v="2026-08-25T09:48:00"/>
    <d v="2026-08-25T14:00:00"/>
    <d v="2026-08-25T11:35:00"/>
    <s v="已完工"/>
    <s v="无"/>
    <m/>
    <m/>
    <n v="1"/>
    <n v="3"/>
    <n v="1"/>
    <n v="1"/>
    <n v="0"/>
    <n v="0"/>
    <n v="0"/>
    <s v="无"/>
    <n v="1"/>
  </r>
  <r>
    <x v="501"/>
    <x v="0"/>
    <x v="1"/>
    <s v="BJ01"/>
    <d v="2026-08-24T08:35:00"/>
    <d v="2026-08-24T11:48:00"/>
    <d v="2026-08-25T15:00:00"/>
    <d v="2026-08-25T14:13:00"/>
    <d v="2026-08-25T19:00:00"/>
    <d v="2026-08-25T15:45:00"/>
    <s v="已完工"/>
    <s v="无"/>
    <m/>
    <m/>
    <n v="0"/>
    <n v="5"/>
    <n v="1"/>
    <n v="1"/>
    <n v="0"/>
    <n v="0"/>
    <n v="0"/>
    <s v="无"/>
    <n v="1"/>
  </r>
  <r>
    <x v="502"/>
    <x v="0"/>
    <x v="2"/>
    <s v="BJ02"/>
    <d v="2026-08-24T08:55:00"/>
    <d v="2026-08-24T10:28:00"/>
    <d v="2026-08-25T10:00:00"/>
    <d v="2026-08-25T09:18:00"/>
    <d v="2026-08-25T13:00:00"/>
    <d v="2026-08-25T11:11:00"/>
    <s v="已完工"/>
    <s v="无"/>
    <m/>
    <m/>
    <n v="0"/>
    <n v="5"/>
    <n v="1"/>
    <n v="1"/>
    <n v="0"/>
    <n v="0"/>
    <n v="0"/>
    <s v="无"/>
    <n v="1"/>
  </r>
  <r>
    <x v="503"/>
    <x v="1"/>
    <x v="1"/>
    <s v="WH01"/>
    <d v="2026-08-24T09:00:00"/>
    <d v="2026-08-24T11:26:00"/>
    <d v="2026-08-25T17:00:00"/>
    <d v="2026-08-25T16:45:00"/>
    <d v="2026-08-25T21:00:00"/>
    <d v="2026-08-25T18:20:00"/>
    <s v="已完工"/>
    <s v="无"/>
    <m/>
    <m/>
    <n v="0"/>
    <n v="5"/>
    <n v="1"/>
    <n v="1"/>
    <n v="0"/>
    <n v="0"/>
    <n v="0"/>
    <s v="无"/>
    <n v="1"/>
  </r>
  <r>
    <x v="504"/>
    <x v="1"/>
    <x v="0"/>
    <s v="WH02"/>
    <d v="2026-08-24T09:10:00"/>
    <d v="2026-08-24T10:18:00"/>
    <d v="2026-08-26T10:00:00"/>
    <d v="2026-08-26T09:46:00"/>
    <d v="2026-08-26T15:00:00"/>
    <d v="2026-08-26T12:06:00"/>
    <s v="已完工"/>
    <s v="无"/>
    <m/>
    <m/>
    <n v="0"/>
    <m/>
    <n v="1"/>
    <n v="1"/>
    <n v="0"/>
    <n v="0"/>
    <n v="0"/>
    <s v="无"/>
    <n v="1"/>
  </r>
  <r>
    <x v="505"/>
    <x v="0"/>
    <x v="2"/>
    <s v="BJ02"/>
    <d v="2026-08-24T10:25:00"/>
    <d v="2026-08-24T11:01:00"/>
    <d v="2026-08-27T10:00:00"/>
    <d v="2026-08-27T10:30:00"/>
    <d v="2026-08-27T13:00:00"/>
    <d v="2026-08-27T11:28:00"/>
    <s v="已完工"/>
    <s v="上门超时"/>
    <d v="2026-08-27T10:00:00"/>
    <m/>
    <n v="0"/>
    <n v="4"/>
    <n v="0"/>
    <n v="1"/>
    <n v="1"/>
    <n v="0"/>
    <n v="1"/>
    <s v="上门超时"/>
    <n v="1"/>
  </r>
  <r>
    <x v="506"/>
    <x v="2"/>
    <x v="0"/>
    <s v="CQ02"/>
    <d v="2026-08-24T11:25:00"/>
    <m/>
    <d v="2026-08-25T12:00:00"/>
    <m/>
    <d v="2026-08-25T17:00:00"/>
    <m/>
    <s v="未完工"/>
    <s v="派单超时"/>
    <d v="2026-08-25T12:00:00"/>
    <m/>
    <n v="0"/>
    <m/>
    <n v="0"/>
    <n v="0"/>
    <n v="1"/>
    <n v="0"/>
    <n v="1"/>
    <s v="派单超时"/>
    <n v="1"/>
  </r>
  <r>
    <x v="507"/>
    <x v="2"/>
    <x v="1"/>
    <s v="CQ02"/>
    <d v="2026-08-24T11:35:00"/>
    <d v="2026-08-24T13:00:00"/>
    <d v="2026-08-26T12:00:00"/>
    <d v="2026-08-26T11:06:00"/>
    <d v="2026-08-26T16:00:00"/>
    <d v="2026-08-26T12:14:00"/>
    <s v="已完工"/>
    <s v="无"/>
    <m/>
    <m/>
    <n v="0"/>
    <n v="5"/>
    <n v="1"/>
    <n v="1"/>
    <n v="0"/>
    <n v="0"/>
    <n v="0"/>
    <s v="无"/>
    <n v="1"/>
  </r>
  <r>
    <x v="508"/>
    <x v="1"/>
    <x v="1"/>
    <s v="WH02"/>
    <d v="2026-08-24T12:45:00"/>
    <d v="2026-08-24T14:53:00"/>
    <d v="2026-08-25T10:00:00"/>
    <d v="2026-08-25T08:45:00"/>
    <d v="2026-08-25T14:00:00"/>
    <d v="2026-08-25T10:33:00"/>
    <s v="已完工"/>
    <s v="无"/>
    <m/>
    <m/>
    <n v="0"/>
    <m/>
    <n v="1"/>
    <n v="1"/>
    <n v="0"/>
    <n v="0"/>
    <n v="0"/>
    <s v="无"/>
    <n v="1"/>
  </r>
  <r>
    <x v="509"/>
    <x v="0"/>
    <x v="0"/>
    <s v="BJ01"/>
    <d v="2026-08-24T13:05:00"/>
    <d v="2026-08-24T14:34:00"/>
    <d v="2026-08-25T17:00:00"/>
    <d v="2026-08-25T16:39:00"/>
    <d v="2026-08-25T22:00:00"/>
    <d v="2026-08-25T18:05:00"/>
    <s v="已完工"/>
    <s v="无"/>
    <m/>
    <m/>
    <n v="0"/>
    <n v="4"/>
    <n v="1"/>
    <n v="1"/>
    <n v="0"/>
    <n v="0"/>
    <n v="0"/>
    <s v="无"/>
    <n v="1"/>
  </r>
  <r>
    <x v="510"/>
    <x v="0"/>
    <x v="1"/>
    <s v="BJ02"/>
    <d v="2026-08-24T13:30:00"/>
    <d v="2026-08-24T17:24:00"/>
    <d v="2026-08-25T12:00:00"/>
    <d v="2026-08-25T13:48:00"/>
    <d v="2026-08-25T16:00:00"/>
    <d v="2026-08-25T15:00:00"/>
    <s v="已完工"/>
    <s v="上门超时"/>
    <d v="2026-08-25T12:00:00"/>
    <m/>
    <n v="0"/>
    <m/>
    <n v="0"/>
    <n v="1"/>
    <n v="1"/>
    <n v="0"/>
    <n v="1"/>
    <s v="上门超时"/>
    <n v="1"/>
  </r>
  <r>
    <x v="511"/>
    <x v="2"/>
    <x v="1"/>
    <s v="CQ01"/>
    <d v="2026-08-24T14:05:00"/>
    <d v="2026-08-24T16:57:00"/>
    <d v="2026-08-25T12:00:00"/>
    <d v="2026-08-25T11:38:00"/>
    <d v="2026-08-25T16:00:00"/>
    <d v="2026-08-25T13:25:00"/>
    <s v="已完工"/>
    <s v="无"/>
    <m/>
    <m/>
    <n v="0"/>
    <m/>
    <n v="1"/>
    <n v="1"/>
    <n v="0"/>
    <n v="0"/>
    <n v="0"/>
    <s v="无"/>
    <n v="1"/>
  </r>
  <r>
    <x v="512"/>
    <x v="1"/>
    <x v="1"/>
    <s v="WH01"/>
    <d v="2026-08-24T14:10:00"/>
    <d v="2026-08-24T15:17:00"/>
    <d v="2026-08-25T12:00:00"/>
    <d v="2026-08-25T10:52:00"/>
    <d v="2026-08-25T16:00:00"/>
    <d v="2026-08-25T12:22:00"/>
    <s v="已完工"/>
    <s v="无"/>
    <m/>
    <m/>
    <n v="0"/>
    <n v="5"/>
    <n v="1"/>
    <n v="1"/>
    <n v="0"/>
    <n v="0"/>
    <n v="0"/>
    <s v="无"/>
    <n v="1"/>
  </r>
  <r>
    <x v="513"/>
    <x v="1"/>
    <x v="1"/>
    <s v="WH01"/>
    <d v="2026-08-24T14:50:00"/>
    <d v="2026-08-24T15:20:00"/>
    <d v="2026-08-26T17:00:00"/>
    <d v="2026-08-26T16:04:00"/>
    <d v="2026-08-26T21:00:00"/>
    <d v="2026-08-26T18:04:00"/>
    <s v="已完工"/>
    <s v="无"/>
    <m/>
    <m/>
    <n v="0"/>
    <m/>
    <n v="1"/>
    <n v="1"/>
    <n v="0"/>
    <n v="0"/>
    <n v="0"/>
    <s v="无"/>
    <n v="1"/>
  </r>
  <r>
    <x v="514"/>
    <x v="0"/>
    <x v="0"/>
    <s v="BJ02"/>
    <d v="2026-08-24T15:00:00"/>
    <d v="2026-08-24T16:55:00"/>
    <d v="2026-08-25T15:00:00"/>
    <d v="2026-08-25T13:59:00"/>
    <d v="2026-08-25T20:00:00"/>
    <d v="2026-08-25T16:25:00"/>
    <s v="已完工"/>
    <s v="无"/>
    <m/>
    <m/>
    <n v="0"/>
    <m/>
    <n v="1"/>
    <n v="1"/>
    <n v="0"/>
    <n v="0"/>
    <n v="0"/>
    <s v="无"/>
    <n v="1"/>
  </r>
  <r>
    <x v="515"/>
    <x v="1"/>
    <x v="2"/>
    <s v="WH02"/>
    <d v="2026-08-24T16:00:00"/>
    <d v="2026-08-24T16:31:00"/>
    <d v="2026-08-27T12:00:00"/>
    <d v="2026-08-27T11:34:00"/>
    <d v="2026-08-27T15:00:00"/>
    <m/>
    <s v="未完工"/>
    <s v="完工超时"/>
    <d v="2026-08-27T15:00:00"/>
    <m/>
    <n v="0"/>
    <m/>
    <n v="1"/>
    <n v="0"/>
    <n v="1"/>
    <n v="0"/>
    <n v="1"/>
    <s v="完工超时"/>
    <n v="1"/>
  </r>
  <r>
    <x v="516"/>
    <x v="0"/>
    <x v="1"/>
    <s v="BJ02"/>
    <d v="2026-08-24T16:10:00"/>
    <d v="2026-08-24T17:18:00"/>
    <d v="2026-08-25T15:00:00"/>
    <d v="2026-08-25T14:05:00"/>
    <d v="2026-08-25T19:00:00"/>
    <d v="2026-08-25T15:57:00"/>
    <s v="已完工"/>
    <s v="无"/>
    <m/>
    <m/>
    <n v="0"/>
    <n v="4"/>
    <n v="1"/>
    <n v="1"/>
    <n v="0"/>
    <n v="0"/>
    <n v="0"/>
    <s v="无"/>
    <n v="1"/>
  </r>
  <r>
    <x v="517"/>
    <x v="0"/>
    <x v="0"/>
    <s v="BJ01"/>
    <d v="2026-08-24T17:25:00"/>
    <d v="2026-08-24T18:09:00"/>
    <d v="2026-08-27T15:00:00"/>
    <d v="2026-08-27T14:12:00"/>
    <d v="2026-08-27T20:00:00"/>
    <d v="2026-08-27T16:11:00"/>
    <s v="已完工"/>
    <s v="无"/>
    <m/>
    <m/>
    <n v="0"/>
    <n v="5"/>
    <n v="1"/>
    <n v="1"/>
    <n v="0"/>
    <n v="0"/>
    <n v="0"/>
    <s v="无"/>
    <n v="1"/>
  </r>
  <r>
    <x v="518"/>
    <x v="0"/>
    <x v="1"/>
    <s v="BJ02"/>
    <d v="2026-08-25T10:05:00"/>
    <d v="2026-08-25T13:24:00"/>
    <d v="2026-08-26T12:00:00"/>
    <d v="2026-08-26T11:37:00"/>
    <d v="2026-08-26T16:00:00"/>
    <d v="2026-08-26T13:27:00"/>
    <s v="已完工"/>
    <s v="无"/>
    <m/>
    <m/>
    <n v="0"/>
    <n v="5"/>
    <n v="1"/>
    <n v="1"/>
    <n v="0"/>
    <n v="0"/>
    <n v="0"/>
    <s v="无"/>
    <n v="1"/>
  </r>
  <r>
    <x v="519"/>
    <x v="1"/>
    <x v="0"/>
    <s v="WH02"/>
    <d v="2026-08-25T10:05:00"/>
    <d v="2026-08-26T18:14:00"/>
    <d v="2026-08-26T17:00:00"/>
    <d v="2026-08-26T18:56:00"/>
    <d v="2026-08-26T22:00:00"/>
    <d v="2026-08-26T20:58:00"/>
    <s v="已完工"/>
    <s v="派单超时"/>
    <d v="2026-08-26T17:00:00"/>
    <d v="2026-08-26T23:55:00"/>
    <n v="0"/>
    <n v="3"/>
    <n v="0"/>
    <n v="1"/>
    <n v="1"/>
    <n v="1"/>
    <n v="0"/>
    <s v="派单超时"/>
    <n v="1"/>
  </r>
  <r>
    <x v="520"/>
    <x v="1"/>
    <x v="1"/>
    <s v="WH02"/>
    <d v="2026-08-25T10:45:00"/>
    <d v="2026-08-25T11:42:00"/>
    <d v="2026-08-26T15:00:00"/>
    <d v="2026-08-26T14:05:00"/>
    <d v="2026-08-26T19:00:00"/>
    <d v="2026-08-26T15:08:00"/>
    <s v="已完工"/>
    <s v="无"/>
    <m/>
    <m/>
    <n v="0"/>
    <m/>
    <n v="1"/>
    <n v="1"/>
    <n v="0"/>
    <n v="0"/>
    <n v="0"/>
    <s v="无"/>
    <n v="1"/>
  </r>
  <r>
    <x v="521"/>
    <x v="1"/>
    <x v="0"/>
    <s v="WH01"/>
    <d v="2026-08-25T11:15:00"/>
    <d v="2026-08-25T13:08:00"/>
    <d v="2026-08-26T15:00:00"/>
    <d v="2026-08-26T16:31:00"/>
    <d v="2026-08-26T20:00:00"/>
    <d v="2026-08-26T18:47:00"/>
    <s v="已完工"/>
    <s v="上门超时"/>
    <d v="2026-08-26T15:00:00"/>
    <d v="2026-08-26T19:51:00"/>
    <n v="0"/>
    <n v="4"/>
    <n v="0"/>
    <n v="1"/>
    <n v="1"/>
    <n v="1"/>
    <n v="0"/>
    <s v="上门超时"/>
    <n v="1"/>
  </r>
  <r>
    <x v="522"/>
    <x v="1"/>
    <x v="0"/>
    <s v="WH02"/>
    <d v="2026-08-25T11:25:00"/>
    <m/>
    <d v="2026-08-26T17:00:00"/>
    <m/>
    <d v="2026-08-26T22:00:00"/>
    <m/>
    <s v="未完工"/>
    <s v="派单超时"/>
    <d v="2026-08-26T17:00:00"/>
    <m/>
    <n v="0"/>
    <m/>
    <n v="0"/>
    <n v="0"/>
    <n v="1"/>
    <n v="0"/>
    <n v="1"/>
    <s v="派单超时"/>
    <n v="1"/>
  </r>
  <r>
    <x v="523"/>
    <x v="1"/>
    <x v="1"/>
    <s v="WH02"/>
    <d v="2026-08-25T11:25:00"/>
    <d v="2026-08-25T12:41:00"/>
    <d v="2026-08-26T10:00:00"/>
    <d v="2026-08-26T11:37:00"/>
    <d v="2026-08-26T14:00:00"/>
    <d v="2026-08-26T13:03:00"/>
    <s v="已完工"/>
    <s v="上门超时"/>
    <d v="2026-08-26T10:00:00"/>
    <d v="2026-08-26T18:47:00"/>
    <n v="0"/>
    <m/>
    <n v="0"/>
    <n v="1"/>
    <n v="1"/>
    <n v="1"/>
    <n v="0"/>
    <s v="上门超时"/>
    <n v="1"/>
  </r>
  <r>
    <x v="524"/>
    <x v="0"/>
    <x v="1"/>
    <s v="BJ01"/>
    <d v="2026-08-25T11:35:00"/>
    <d v="2026-08-25T15:20:00"/>
    <d v="2026-08-27T10:00:00"/>
    <d v="2026-08-27T09:04:00"/>
    <d v="2026-08-27T14:00:00"/>
    <d v="2026-08-27T11:34:00"/>
    <s v="已完工"/>
    <s v="无"/>
    <m/>
    <m/>
    <n v="0"/>
    <m/>
    <n v="1"/>
    <n v="1"/>
    <n v="0"/>
    <n v="0"/>
    <n v="0"/>
    <s v="无"/>
    <n v="1"/>
  </r>
  <r>
    <x v="525"/>
    <x v="2"/>
    <x v="2"/>
    <s v="CQ02"/>
    <d v="2026-08-25T13:30:00"/>
    <d v="2026-08-25T17:17:00"/>
    <d v="2026-08-26T17:00:00"/>
    <d v="2026-08-26T17:37:00"/>
    <d v="2026-08-26T20:00:00"/>
    <d v="2026-08-26T18:28:00"/>
    <s v="已完工"/>
    <s v="上门超时"/>
    <d v="2026-08-26T17:00:00"/>
    <d v="2026-08-26T20:40:00"/>
    <n v="0"/>
    <n v="3"/>
    <n v="0"/>
    <n v="1"/>
    <n v="1"/>
    <n v="1"/>
    <n v="0"/>
    <s v="上门超时"/>
    <n v="1"/>
  </r>
  <r>
    <x v="526"/>
    <x v="1"/>
    <x v="1"/>
    <s v="WH01"/>
    <d v="2026-08-25T13:30:00"/>
    <d v="2026-08-25T15:42:00"/>
    <d v="2026-08-26T15:00:00"/>
    <d v="2026-08-26T14:50:00"/>
    <d v="2026-08-26T19:00:00"/>
    <d v="2026-08-26T17:17:00"/>
    <s v="已完工"/>
    <s v="无"/>
    <m/>
    <m/>
    <n v="0"/>
    <n v="3"/>
    <n v="1"/>
    <n v="1"/>
    <n v="0"/>
    <n v="0"/>
    <n v="0"/>
    <s v="无"/>
    <n v="1"/>
  </r>
  <r>
    <x v="527"/>
    <x v="0"/>
    <x v="0"/>
    <s v="BJ02"/>
    <d v="2026-08-25T13:35:00"/>
    <d v="2026-08-25T16:40:00"/>
    <d v="2026-08-26T15:00:00"/>
    <d v="2026-08-26T14:28:00"/>
    <d v="2026-08-26T20:00:00"/>
    <d v="2026-08-26T15:36:00"/>
    <s v="已完工"/>
    <s v="无"/>
    <m/>
    <m/>
    <n v="0"/>
    <n v="5"/>
    <n v="1"/>
    <n v="1"/>
    <n v="0"/>
    <n v="0"/>
    <n v="0"/>
    <s v="无"/>
    <n v="1"/>
  </r>
  <r>
    <x v="528"/>
    <x v="1"/>
    <x v="0"/>
    <s v="WH01"/>
    <d v="2026-08-25T14:05:00"/>
    <d v="2026-08-25T15:01:00"/>
    <d v="2026-08-27T10:00:00"/>
    <d v="2026-08-27T09:28:00"/>
    <d v="2026-08-27T15:00:00"/>
    <d v="2026-08-27T10:44:00"/>
    <s v="已完工"/>
    <s v="无"/>
    <m/>
    <m/>
    <n v="0"/>
    <n v="5"/>
    <n v="1"/>
    <n v="1"/>
    <n v="0"/>
    <n v="0"/>
    <n v="0"/>
    <s v="无"/>
    <n v="1"/>
  </r>
  <r>
    <x v="529"/>
    <x v="0"/>
    <x v="1"/>
    <s v="BJ01"/>
    <d v="2026-08-25T14:10:00"/>
    <d v="2026-08-25T18:06:00"/>
    <d v="2026-08-27T17:00:00"/>
    <d v="2026-08-27T16:05:00"/>
    <d v="2026-08-27T21:00:00"/>
    <d v="2026-08-27T18:33:00"/>
    <s v="已完工"/>
    <s v="无"/>
    <m/>
    <m/>
    <n v="0"/>
    <n v="5"/>
    <n v="1"/>
    <n v="1"/>
    <n v="0"/>
    <n v="0"/>
    <n v="0"/>
    <s v="无"/>
    <n v="1"/>
  </r>
  <r>
    <x v="530"/>
    <x v="1"/>
    <x v="1"/>
    <s v="WH02"/>
    <d v="2026-08-25T15:20:00"/>
    <m/>
    <d v="2026-08-26T12:00:00"/>
    <m/>
    <d v="2026-08-26T16:00:00"/>
    <m/>
    <s v="未完工"/>
    <s v="派单超时"/>
    <d v="2026-08-26T12:00:00"/>
    <m/>
    <n v="0"/>
    <m/>
    <n v="0"/>
    <n v="0"/>
    <n v="1"/>
    <n v="0"/>
    <n v="1"/>
    <s v="派单超时"/>
    <n v="1"/>
  </r>
  <r>
    <x v="531"/>
    <x v="2"/>
    <x v="0"/>
    <s v="CQ01"/>
    <d v="2026-08-25T15:30:00"/>
    <d v="2026-08-27T13:28:00"/>
    <d v="2026-08-27T12:00:00"/>
    <d v="2026-08-27T14:16:00"/>
    <d v="2026-08-27T17:00:00"/>
    <d v="2026-08-27T15:22:00"/>
    <s v="已完工"/>
    <s v="派单超时"/>
    <d v="2026-08-27T12:00:00"/>
    <d v="2026-08-27T18:50:00"/>
    <n v="0"/>
    <n v="4"/>
    <n v="0"/>
    <n v="1"/>
    <n v="1"/>
    <n v="1"/>
    <n v="0"/>
    <s v="派单超时"/>
    <n v="1"/>
  </r>
  <r>
    <x v="532"/>
    <x v="2"/>
    <x v="0"/>
    <s v="CQ02"/>
    <d v="2026-08-25T15:50:00"/>
    <d v="2026-08-27T12:48:00"/>
    <d v="2026-08-27T12:00:00"/>
    <d v="2026-08-27T13:14:00"/>
    <d v="2026-08-27T17:00:00"/>
    <d v="2026-08-27T14:37:00"/>
    <s v="已完工"/>
    <s v="派单超时"/>
    <d v="2026-08-27T12:00:00"/>
    <d v="2026-08-27T20:23:00"/>
    <n v="0"/>
    <n v="3"/>
    <n v="0"/>
    <n v="1"/>
    <n v="1"/>
    <n v="1"/>
    <n v="0"/>
    <s v="派单超时"/>
    <n v="1"/>
  </r>
  <r>
    <x v="533"/>
    <x v="0"/>
    <x v="1"/>
    <s v="BJ02"/>
    <d v="2026-08-25T16:35:00"/>
    <d v="2026-08-26T13:28:00"/>
    <d v="2026-08-26T12:00:00"/>
    <d v="2026-08-26T14:45:00"/>
    <d v="2026-08-26T16:00:00"/>
    <d v="2026-08-26T15:49:00"/>
    <s v="已完工"/>
    <s v="派单超时"/>
    <d v="2026-08-26T12:00:00"/>
    <d v="2026-08-26T19:39:00"/>
    <n v="0"/>
    <n v="4"/>
    <n v="0"/>
    <n v="1"/>
    <n v="1"/>
    <n v="1"/>
    <n v="0"/>
    <s v="派单超时"/>
    <n v="1"/>
  </r>
  <r>
    <x v="534"/>
    <x v="0"/>
    <x v="2"/>
    <s v="BJ01"/>
    <d v="2026-08-25T17:45:00"/>
    <d v="2026-08-25T20:30:00"/>
    <d v="2026-08-27T12:00:00"/>
    <d v="2026-08-27T11:20:00"/>
    <d v="2026-08-27T15:00:00"/>
    <d v="2026-08-27T13:42:00"/>
    <s v="已完工"/>
    <s v="无"/>
    <m/>
    <m/>
    <n v="0"/>
    <n v="4"/>
    <n v="1"/>
    <n v="1"/>
    <n v="0"/>
    <n v="0"/>
    <n v="0"/>
    <s v="无"/>
    <n v="1"/>
  </r>
  <r>
    <x v="535"/>
    <x v="1"/>
    <x v="0"/>
    <s v="WH02"/>
    <d v="2026-08-25T17:50:00"/>
    <d v="2026-08-25T21:34:00"/>
    <d v="2026-08-26T17:00:00"/>
    <d v="2026-08-26T16:23:00"/>
    <d v="2026-08-26T22:00:00"/>
    <d v="2026-08-27T00:49:00"/>
    <s v="已完工"/>
    <s v="完工超时"/>
    <d v="2026-08-26T22:00:00"/>
    <d v="2026-08-27T02:13:00"/>
    <n v="0"/>
    <n v="3"/>
    <n v="1"/>
    <n v="0"/>
    <n v="1"/>
    <n v="1"/>
    <n v="0"/>
    <s v="完工超时"/>
    <n v="1"/>
  </r>
  <r>
    <x v="536"/>
    <x v="2"/>
    <x v="1"/>
    <s v="CQ02"/>
    <d v="2026-08-25T18:50:00"/>
    <d v="2026-08-25T21:02:00"/>
    <d v="2026-08-26T15:00:00"/>
    <d v="2026-08-26T14:27:00"/>
    <d v="2026-08-26T19:00:00"/>
    <d v="2026-08-26T16:23:00"/>
    <s v="已完工"/>
    <s v="无"/>
    <m/>
    <m/>
    <n v="0"/>
    <m/>
    <n v="1"/>
    <n v="1"/>
    <n v="0"/>
    <n v="0"/>
    <n v="0"/>
    <s v="无"/>
    <n v="1"/>
  </r>
  <r>
    <x v="537"/>
    <x v="2"/>
    <x v="0"/>
    <s v="CQ01"/>
    <d v="2026-08-26T08:45:00"/>
    <d v="2026-08-26T10:20:00"/>
    <d v="2026-08-27T15:00:00"/>
    <d v="2026-08-27T14:49:00"/>
    <d v="2026-08-27T20:00:00"/>
    <d v="2026-08-27T16:15:00"/>
    <s v="已完工"/>
    <s v="无"/>
    <m/>
    <m/>
    <n v="1"/>
    <n v="1"/>
    <n v="1"/>
    <n v="1"/>
    <n v="0"/>
    <n v="0"/>
    <n v="0"/>
    <s v="无"/>
    <n v="1"/>
  </r>
  <r>
    <x v="538"/>
    <x v="0"/>
    <x v="0"/>
    <s v="BJ01"/>
    <d v="2026-08-26T09:20:00"/>
    <d v="2026-08-26T10:22:00"/>
    <d v="2026-08-28T12:00:00"/>
    <d v="2026-08-28T11:00:00"/>
    <d v="2026-08-28T17:00:00"/>
    <d v="2026-08-28T12:57:00"/>
    <s v="已完工"/>
    <s v="无"/>
    <m/>
    <m/>
    <n v="0"/>
    <n v="4"/>
    <n v="1"/>
    <n v="1"/>
    <n v="0"/>
    <n v="0"/>
    <n v="0"/>
    <s v="无"/>
    <n v="1"/>
  </r>
  <r>
    <x v="539"/>
    <x v="2"/>
    <x v="1"/>
    <s v="CQ01"/>
    <d v="2026-08-26T09:20:00"/>
    <d v="2026-08-26T09:53:00"/>
    <d v="2026-08-28T15:00:00"/>
    <d v="2026-08-28T14:31:00"/>
    <d v="2026-08-28T19:00:00"/>
    <d v="2026-08-28T15:37:00"/>
    <s v="已完工"/>
    <s v="无"/>
    <m/>
    <m/>
    <n v="0"/>
    <n v="3"/>
    <n v="1"/>
    <n v="1"/>
    <n v="0"/>
    <n v="0"/>
    <n v="0"/>
    <s v="无"/>
    <n v="1"/>
  </r>
  <r>
    <x v="540"/>
    <x v="1"/>
    <x v="0"/>
    <s v="WH01"/>
    <d v="2026-08-26T09:30:00"/>
    <d v="2026-08-26T11:38:00"/>
    <d v="2026-08-28T10:00:00"/>
    <d v="2026-08-28T09:17:00"/>
    <d v="2026-08-28T15:00:00"/>
    <d v="2026-08-28T10:32:00"/>
    <s v="已完工"/>
    <s v="无"/>
    <m/>
    <m/>
    <n v="0"/>
    <n v="4"/>
    <n v="1"/>
    <n v="1"/>
    <n v="0"/>
    <n v="0"/>
    <n v="0"/>
    <s v="无"/>
    <n v="1"/>
  </r>
  <r>
    <x v="541"/>
    <x v="0"/>
    <x v="1"/>
    <s v="BJ02"/>
    <d v="2026-08-26T10:10:00"/>
    <d v="2026-08-26T13:16:00"/>
    <d v="2026-08-29T10:00:00"/>
    <d v="2026-08-29T09:05:00"/>
    <d v="2026-08-29T14:00:00"/>
    <d v="2026-08-29T09:55:00"/>
    <s v="已完工"/>
    <s v="无"/>
    <m/>
    <m/>
    <n v="0"/>
    <m/>
    <n v="1"/>
    <n v="1"/>
    <n v="0"/>
    <n v="0"/>
    <n v="0"/>
    <s v="无"/>
    <n v="1"/>
  </r>
  <r>
    <x v="542"/>
    <x v="0"/>
    <x v="0"/>
    <s v="BJ01"/>
    <d v="2026-08-26T10:35:00"/>
    <d v="2026-08-26T11:42:00"/>
    <d v="2026-08-27T15:00:00"/>
    <d v="2026-08-27T14:03:00"/>
    <d v="2026-08-27T20:00:00"/>
    <d v="2026-08-27T16:05:00"/>
    <s v="已完工"/>
    <s v="无"/>
    <m/>
    <m/>
    <n v="0"/>
    <n v="5"/>
    <n v="1"/>
    <n v="1"/>
    <n v="0"/>
    <n v="0"/>
    <n v="0"/>
    <s v="无"/>
    <n v="1"/>
  </r>
  <r>
    <x v="543"/>
    <x v="2"/>
    <x v="2"/>
    <s v="CQ02"/>
    <d v="2026-08-26T10:35:00"/>
    <d v="2026-08-26T11:57:00"/>
    <d v="2026-08-27T15:00:00"/>
    <d v="2026-08-27T14:37:00"/>
    <d v="2026-08-27T18:00:00"/>
    <d v="2026-08-27T17:06:00"/>
    <s v="已完工"/>
    <s v="无"/>
    <m/>
    <m/>
    <n v="0"/>
    <n v="3"/>
    <n v="1"/>
    <n v="1"/>
    <n v="0"/>
    <n v="0"/>
    <n v="0"/>
    <s v="无"/>
    <n v="1"/>
  </r>
  <r>
    <x v="544"/>
    <x v="1"/>
    <x v="2"/>
    <s v="WH01"/>
    <d v="2026-08-26T11:25:00"/>
    <d v="2026-08-26T14:50:00"/>
    <d v="2026-08-27T17:00:00"/>
    <d v="2026-08-27T15:53:00"/>
    <d v="2026-08-27T20:00:00"/>
    <d v="2026-08-27T17:55:00"/>
    <s v="已完工"/>
    <s v="无"/>
    <m/>
    <m/>
    <n v="0"/>
    <n v="4"/>
    <n v="1"/>
    <n v="1"/>
    <n v="0"/>
    <n v="0"/>
    <n v="0"/>
    <s v="无"/>
    <n v="1"/>
  </r>
  <r>
    <x v="545"/>
    <x v="2"/>
    <x v="1"/>
    <s v="CQ02"/>
    <d v="2026-08-26T12:15:00"/>
    <d v="2026-08-26T15:52:00"/>
    <d v="2026-08-28T12:00:00"/>
    <d v="2026-08-28T11:29:00"/>
    <d v="2026-08-28T16:00:00"/>
    <d v="2026-08-28T12:30:00"/>
    <s v="已完工"/>
    <s v="无"/>
    <m/>
    <m/>
    <n v="1"/>
    <m/>
    <n v="1"/>
    <n v="1"/>
    <n v="0"/>
    <n v="0"/>
    <n v="0"/>
    <s v="无"/>
    <n v="1"/>
  </r>
  <r>
    <x v="546"/>
    <x v="1"/>
    <x v="1"/>
    <s v="WH02"/>
    <d v="2026-08-26T12:25:00"/>
    <d v="2026-08-26T15:48:00"/>
    <d v="2026-08-27T15:00:00"/>
    <d v="2026-08-27T14:13:00"/>
    <d v="2026-08-27T19:00:00"/>
    <d v="2026-08-27T15:39:00"/>
    <s v="已完工"/>
    <s v="无"/>
    <m/>
    <m/>
    <n v="0"/>
    <n v="3"/>
    <n v="1"/>
    <n v="1"/>
    <n v="0"/>
    <n v="0"/>
    <n v="0"/>
    <s v="无"/>
    <n v="1"/>
  </r>
  <r>
    <x v="547"/>
    <x v="1"/>
    <x v="0"/>
    <s v="WH02"/>
    <d v="2026-08-26T12:55:00"/>
    <d v="2026-08-26T14:32:00"/>
    <d v="2026-08-27T10:00:00"/>
    <d v="2026-08-27T09:46:00"/>
    <d v="2026-08-27T15:00:00"/>
    <d v="2026-08-27T10:52:00"/>
    <s v="已完工"/>
    <s v="无"/>
    <m/>
    <m/>
    <n v="0"/>
    <n v="5"/>
    <n v="1"/>
    <n v="1"/>
    <n v="0"/>
    <n v="0"/>
    <n v="0"/>
    <s v="无"/>
    <n v="1"/>
  </r>
  <r>
    <x v="548"/>
    <x v="2"/>
    <x v="0"/>
    <s v="CQ02"/>
    <d v="2026-08-26T13:05:00"/>
    <d v="2026-08-26T16:33:00"/>
    <d v="2026-08-28T12:00:00"/>
    <d v="2026-08-28T11:40:00"/>
    <d v="2026-08-28T17:00:00"/>
    <d v="2026-08-28T13:21:00"/>
    <s v="已完工"/>
    <s v="无"/>
    <m/>
    <m/>
    <n v="0"/>
    <n v="5"/>
    <n v="1"/>
    <n v="1"/>
    <n v="0"/>
    <n v="0"/>
    <n v="0"/>
    <s v="无"/>
    <n v="1"/>
  </r>
  <r>
    <x v="549"/>
    <x v="2"/>
    <x v="1"/>
    <s v="CQ02"/>
    <d v="2026-08-26T13:10:00"/>
    <d v="2026-08-26T16:09:00"/>
    <d v="2026-08-28T15:00:00"/>
    <m/>
    <d v="2026-08-28T19:00:00"/>
    <m/>
    <s v="未完工"/>
    <s v="上门超时"/>
    <d v="2026-08-28T15:00:00"/>
    <m/>
    <n v="0"/>
    <m/>
    <n v="0"/>
    <n v="0"/>
    <n v="1"/>
    <n v="0"/>
    <n v="1"/>
    <s v="上门超时"/>
    <n v="1"/>
  </r>
  <r>
    <x v="550"/>
    <x v="2"/>
    <x v="1"/>
    <s v="CQ02"/>
    <d v="2026-08-26T13:35:00"/>
    <d v="2026-08-26T14:34:00"/>
    <d v="2026-08-27T12:00:00"/>
    <d v="2026-08-27T10:56:00"/>
    <d v="2026-08-27T16:00:00"/>
    <d v="2026-08-27T13:01:00"/>
    <s v="已完工"/>
    <s v="无"/>
    <m/>
    <m/>
    <n v="0"/>
    <n v="5"/>
    <n v="1"/>
    <n v="1"/>
    <n v="0"/>
    <n v="0"/>
    <n v="0"/>
    <s v="无"/>
    <n v="1"/>
  </r>
  <r>
    <x v="551"/>
    <x v="2"/>
    <x v="0"/>
    <s v="CQ02"/>
    <d v="2026-08-26T13:45:00"/>
    <d v="2026-08-26T14:37:00"/>
    <d v="2026-08-27T10:00:00"/>
    <d v="2026-08-27T09:26:00"/>
    <d v="2026-08-27T15:00:00"/>
    <d v="2026-08-27T15:47:00"/>
    <s v="已完工"/>
    <s v="完工超时"/>
    <d v="2026-08-27T15:00:00"/>
    <d v="2026-08-27T17:35:00"/>
    <n v="0"/>
    <n v="4"/>
    <n v="1"/>
    <n v="0"/>
    <n v="1"/>
    <n v="1"/>
    <n v="0"/>
    <s v="完工超时"/>
    <n v="1"/>
  </r>
  <r>
    <x v="552"/>
    <x v="0"/>
    <x v="1"/>
    <s v="BJ01"/>
    <d v="2026-08-26T13:50:00"/>
    <d v="2026-08-26T15:02:00"/>
    <d v="2026-08-28T12:00:00"/>
    <d v="2026-08-28T11:17:00"/>
    <d v="2026-08-28T16:00:00"/>
    <d v="2026-08-28T13:01:00"/>
    <s v="已完工"/>
    <s v="无"/>
    <m/>
    <m/>
    <n v="0"/>
    <n v="5"/>
    <n v="1"/>
    <n v="1"/>
    <n v="0"/>
    <n v="0"/>
    <n v="0"/>
    <s v="无"/>
    <n v="1"/>
  </r>
  <r>
    <x v="553"/>
    <x v="0"/>
    <x v="0"/>
    <s v="BJ02"/>
    <d v="2026-08-26T14:00:00"/>
    <d v="2026-08-26T17:38:00"/>
    <d v="2026-08-27T10:00:00"/>
    <d v="2026-08-27T09:11:00"/>
    <d v="2026-08-27T15:00:00"/>
    <d v="2026-08-27T15:20:00"/>
    <s v="已完工"/>
    <s v="完工超时"/>
    <d v="2026-08-27T15:00:00"/>
    <d v="2026-08-27T20:34:00"/>
    <n v="0"/>
    <n v="3"/>
    <n v="1"/>
    <n v="0"/>
    <n v="1"/>
    <n v="1"/>
    <n v="0"/>
    <s v="完工超时"/>
    <n v="1"/>
  </r>
  <r>
    <x v="554"/>
    <x v="0"/>
    <x v="1"/>
    <s v="BJ01"/>
    <d v="2026-08-26T14:35:00"/>
    <d v="2026-08-26T17:40:00"/>
    <d v="2026-08-28T12:00:00"/>
    <d v="2026-08-28T11:21:00"/>
    <d v="2026-08-28T16:00:00"/>
    <d v="2026-08-28T12:56:00"/>
    <s v="已完工"/>
    <s v="无"/>
    <m/>
    <m/>
    <n v="0"/>
    <n v="5"/>
    <n v="1"/>
    <n v="1"/>
    <n v="0"/>
    <n v="0"/>
    <n v="0"/>
    <s v="无"/>
    <n v="1"/>
  </r>
  <r>
    <x v="555"/>
    <x v="1"/>
    <x v="2"/>
    <s v="WH02"/>
    <d v="2026-08-26T15:00:00"/>
    <d v="2026-08-26T18:03:00"/>
    <d v="2026-08-27T17:00:00"/>
    <m/>
    <d v="2026-08-27T20:00:00"/>
    <m/>
    <s v="未完工"/>
    <s v="上门超时"/>
    <d v="2026-08-27T17:00:00"/>
    <m/>
    <n v="1"/>
    <m/>
    <n v="0"/>
    <n v="0"/>
    <n v="1"/>
    <n v="0"/>
    <n v="1"/>
    <s v="上门超时"/>
    <n v="1"/>
  </r>
  <r>
    <x v="556"/>
    <x v="0"/>
    <x v="2"/>
    <s v="BJ01"/>
    <d v="2026-08-26T15:55:00"/>
    <d v="2026-08-26T18:38:00"/>
    <d v="2026-08-27T15:00:00"/>
    <d v="2026-08-27T14:09:00"/>
    <d v="2026-08-27T18:00:00"/>
    <d v="2026-08-27T16:18:00"/>
    <s v="已完工"/>
    <s v="无"/>
    <m/>
    <m/>
    <n v="0"/>
    <n v="5"/>
    <n v="1"/>
    <n v="1"/>
    <n v="0"/>
    <n v="0"/>
    <n v="0"/>
    <s v="无"/>
    <n v="1"/>
  </r>
  <r>
    <x v="557"/>
    <x v="0"/>
    <x v="0"/>
    <s v="BJ02"/>
    <d v="2026-08-26T16:15:00"/>
    <d v="2026-08-26T17:31:00"/>
    <d v="2026-08-27T17:00:00"/>
    <d v="2026-08-27T15:57:00"/>
    <d v="2026-08-27T22:00:00"/>
    <d v="2026-08-27T17:33:00"/>
    <s v="已完工"/>
    <s v="无"/>
    <m/>
    <m/>
    <n v="0"/>
    <n v="5"/>
    <n v="1"/>
    <n v="1"/>
    <n v="0"/>
    <n v="0"/>
    <n v="0"/>
    <s v="无"/>
    <n v="1"/>
  </r>
  <r>
    <x v="558"/>
    <x v="1"/>
    <x v="0"/>
    <s v="WH02"/>
    <d v="2026-08-26T17:10:00"/>
    <d v="2026-08-26T20:03:00"/>
    <d v="2026-08-29T12:00:00"/>
    <d v="2026-08-29T12:19:00"/>
    <d v="2026-08-29T17:00:00"/>
    <d v="2026-08-29T13:29:00"/>
    <s v="已完工"/>
    <s v="上门超时"/>
    <d v="2026-08-29T12:00:00"/>
    <d v="2026-08-29T16:49:00"/>
    <n v="0"/>
    <m/>
    <n v="0"/>
    <n v="1"/>
    <n v="1"/>
    <n v="1"/>
    <n v="0"/>
    <s v="上门超时"/>
    <n v="1"/>
  </r>
  <r>
    <x v="559"/>
    <x v="0"/>
    <x v="2"/>
    <s v="BJ01"/>
    <d v="2026-08-26T17:50:00"/>
    <d v="2026-08-26T21:21:00"/>
    <d v="2026-08-27T17:00:00"/>
    <d v="2026-08-27T16:40:00"/>
    <d v="2026-08-27T20:00:00"/>
    <d v="2026-08-27T17:54:00"/>
    <s v="已完工"/>
    <s v="无"/>
    <m/>
    <m/>
    <n v="0"/>
    <n v="5"/>
    <n v="1"/>
    <n v="1"/>
    <n v="0"/>
    <n v="0"/>
    <n v="0"/>
    <s v="无"/>
    <n v="1"/>
  </r>
  <r>
    <x v="560"/>
    <x v="0"/>
    <x v="0"/>
    <s v="BJ01"/>
    <d v="2026-08-27T08:25:00"/>
    <d v="2026-08-27T11:47:00"/>
    <d v="2026-08-28T17:00:00"/>
    <d v="2026-08-28T16:49:00"/>
    <d v="2026-08-28T22:00:00"/>
    <d v="2026-08-28T17:49:00"/>
    <s v="已完工"/>
    <s v="无"/>
    <m/>
    <m/>
    <n v="0"/>
    <n v="5"/>
    <n v="1"/>
    <n v="1"/>
    <n v="0"/>
    <n v="0"/>
    <n v="0"/>
    <s v="无"/>
    <n v="1"/>
  </r>
  <r>
    <x v="561"/>
    <x v="0"/>
    <x v="1"/>
    <s v="BJ02"/>
    <d v="2026-08-27T10:45:00"/>
    <d v="2026-08-27T12:21:00"/>
    <d v="2026-08-28T10:00:00"/>
    <d v="2026-08-28T10:58:00"/>
    <d v="2026-08-28T14:00:00"/>
    <d v="2026-08-28T13:02:00"/>
    <s v="已完工"/>
    <s v="上门超时"/>
    <d v="2026-08-28T10:00:00"/>
    <d v="2026-08-28T17:36:00"/>
    <n v="0"/>
    <n v="4"/>
    <n v="0"/>
    <n v="1"/>
    <n v="1"/>
    <n v="1"/>
    <n v="0"/>
    <s v="上门超时"/>
    <n v="1"/>
  </r>
  <r>
    <x v="562"/>
    <x v="0"/>
    <x v="0"/>
    <s v="BJ02"/>
    <d v="2026-08-27T10:45:00"/>
    <d v="2026-08-27T11:37:00"/>
    <d v="2026-08-30T10:00:00"/>
    <d v="2026-08-30T09:31:00"/>
    <d v="2026-08-30T15:00:00"/>
    <d v="2026-08-30T10:38:00"/>
    <s v="已完工"/>
    <s v="无"/>
    <m/>
    <m/>
    <n v="0"/>
    <n v="5"/>
    <n v="1"/>
    <n v="1"/>
    <n v="0"/>
    <n v="0"/>
    <n v="0"/>
    <s v="无"/>
    <n v="1"/>
  </r>
  <r>
    <x v="563"/>
    <x v="1"/>
    <x v="1"/>
    <s v="WH02"/>
    <d v="2026-08-27T10:45:00"/>
    <d v="2026-08-27T14:04:00"/>
    <d v="2026-08-28T15:00:00"/>
    <d v="2026-08-28T14:12:00"/>
    <d v="2026-08-28T19:00:00"/>
    <d v="2026-08-28T15:43:00"/>
    <s v="已完工"/>
    <s v="无"/>
    <m/>
    <m/>
    <n v="0"/>
    <m/>
    <n v="1"/>
    <n v="1"/>
    <n v="0"/>
    <n v="0"/>
    <n v="0"/>
    <s v="无"/>
    <n v="1"/>
  </r>
  <r>
    <x v="564"/>
    <x v="0"/>
    <x v="1"/>
    <s v="BJ02"/>
    <d v="2026-08-27T12:00:00"/>
    <d v="2026-08-27T13:20:00"/>
    <d v="2026-08-29T12:00:00"/>
    <d v="2026-08-29T11:36:00"/>
    <d v="2026-08-29T16:00:00"/>
    <m/>
    <s v="未完工"/>
    <s v="完工超时"/>
    <d v="2026-08-29T16:00:00"/>
    <m/>
    <n v="1"/>
    <m/>
    <n v="1"/>
    <n v="0"/>
    <n v="1"/>
    <n v="0"/>
    <n v="1"/>
    <s v="完工超时"/>
    <n v="1"/>
  </r>
  <r>
    <x v="565"/>
    <x v="1"/>
    <x v="0"/>
    <s v="WH02"/>
    <d v="2026-08-27T12:55:00"/>
    <d v="2026-08-27T13:47:00"/>
    <d v="2026-08-29T15:00:00"/>
    <d v="2026-08-29T14:13:00"/>
    <d v="2026-08-29T20:00:00"/>
    <d v="2026-08-29T15:03:00"/>
    <s v="已完工"/>
    <s v="无"/>
    <m/>
    <m/>
    <n v="0"/>
    <n v="4"/>
    <n v="1"/>
    <n v="1"/>
    <n v="0"/>
    <n v="0"/>
    <n v="0"/>
    <s v="无"/>
    <n v="1"/>
  </r>
  <r>
    <x v="566"/>
    <x v="0"/>
    <x v="0"/>
    <s v="BJ01"/>
    <d v="2026-08-27T13:00:00"/>
    <d v="2026-08-27T14:51:00"/>
    <d v="2026-08-29T15:00:00"/>
    <d v="2026-08-29T15:56:00"/>
    <d v="2026-08-29T20:00:00"/>
    <d v="2026-08-29T17:40:00"/>
    <s v="已完工"/>
    <s v="上门超时"/>
    <d v="2026-08-29T15:00:00"/>
    <m/>
    <n v="0"/>
    <n v="3"/>
    <n v="0"/>
    <n v="1"/>
    <n v="1"/>
    <n v="0"/>
    <n v="1"/>
    <s v="上门超时"/>
    <n v="1"/>
  </r>
  <r>
    <x v="567"/>
    <x v="2"/>
    <x v="1"/>
    <s v="CQ02"/>
    <d v="2026-08-27T13:20:00"/>
    <d v="2026-08-27T15:42:00"/>
    <d v="2026-08-29T10:00:00"/>
    <d v="2026-08-29T09:50:00"/>
    <d v="2026-08-29T14:00:00"/>
    <d v="2026-08-29T11:37:00"/>
    <s v="已完工"/>
    <s v="无"/>
    <m/>
    <m/>
    <n v="0"/>
    <n v="4"/>
    <n v="1"/>
    <n v="1"/>
    <n v="0"/>
    <n v="0"/>
    <n v="0"/>
    <s v="无"/>
    <n v="1"/>
  </r>
  <r>
    <x v="568"/>
    <x v="0"/>
    <x v="1"/>
    <s v="BJ01"/>
    <d v="2026-08-27T13:25:00"/>
    <d v="2026-08-27T15:26:00"/>
    <d v="2026-08-28T12:00:00"/>
    <d v="2026-08-28T11:38:00"/>
    <d v="2026-08-28T16:00:00"/>
    <d v="2026-08-28T13:41:00"/>
    <s v="已完工"/>
    <s v="无"/>
    <m/>
    <m/>
    <n v="0"/>
    <n v="5"/>
    <n v="1"/>
    <n v="1"/>
    <n v="0"/>
    <n v="0"/>
    <n v="0"/>
    <s v="无"/>
    <n v="1"/>
  </r>
  <r>
    <x v="569"/>
    <x v="0"/>
    <x v="1"/>
    <s v="BJ02"/>
    <d v="2026-08-27T13:30:00"/>
    <d v="2026-08-27T17:25:00"/>
    <d v="2026-08-28T15:00:00"/>
    <d v="2026-08-28T14:45:00"/>
    <d v="2026-08-28T19:00:00"/>
    <d v="2026-08-28T16:34:00"/>
    <s v="已完工"/>
    <s v="无"/>
    <m/>
    <m/>
    <n v="0"/>
    <n v="4"/>
    <n v="1"/>
    <n v="1"/>
    <n v="0"/>
    <n v="0"/>
    <n v="0"/>
    <s v="无"/>
    <n v="1"/>
  </r>
  <r>
    <x v="570"/>
    <x v="0"/>
    <x v="0"/>
    <s v="BJ01"/>
    <d v="2026-08-27T14:05:00"/>
    <d v="2026-08-27T15:18:00"/>
    <d v="2026-08-29T17:00:00"/>
    <d v="2026-08-29T16:10:00"/>
    <d v="2026-08-29T22:00:00"/>
    <d v="2026-08-29T18:11:00"/>
    <s v="已完工"/>
    <s v="无"/>
    <m/>
    <m/>
    <n v="0"/>
    <n v="3"/>
    <n v="1"/>
    <n v="1"/>
    <n v="0"/>
    <n v="0"/>
    <n v="0"/>
    <s v="无"/>
    <n v="1"/>
  </r>
  <r>
    <x v="571"/>
    <x v="0"/>
    <x v="0"/>
    <s v="BJ01"/>
    <d v="2026-08-27T14:30:00"/>
    <d v="2026-08-27T16:24:00"/>
    <d v="2026-08-28T12:00:00"/>
    <d v="2026-08-28T11:45:00"/>
    <d v="2026-08-28T17:00:00"/>
    <d v="2026-08-28T12:38:00"/>
    <s v="已完工"/>
    <s v="无"/>
    <m/>
    <m/>
    <n v="0"/>
    <m/>
    <n v="1"/>
    <n v="1"/>
    <n v="0"/>
    <n v="0"/>
    <n v="0"/>
    <s v="无"/>
    <n v="1"/>
  </r>
  <r>
    <x v="572"/>
    <x v="1"/>
    <x v="2"/>
    <s v="WH01"/>
    <d v="2026-08-27T15:00:00"/>
    <d v="2026-08-27T16:02:00"/>
    <d v="2026-08-28T10:00:00"/>
    <d v="2026-08-28T08:59:00"/>
    <d v="2026-08-28T13:00:00"/>
    <d v="2026-08-28T09:51:00"/>
    <s v="已完工"/>
    <s v="无"/>
    <m/>
    <m/>
    <n v="0"/>
    <n v="5"/>
    <n v="1"/>
    <n v="1"/>
    <n v="0"/>
    <n v="0"/>
    <n v="0"/>
    <s v="无"/>
    <n v="1"/>
  </r>
  <r>
    <x v="573"/>
    <x v="1"/>
    <x v="2"/>
    <s v="WH02"/>
    <d v="2026-08-27T15:20:00"/>
    <d v="2026-08-27T19:00:00"/>
    <d v="2026-08-29T10:00:00"/>
    <d v="2026-08-29T09:18:00"/>
    <d v="2026-08-29T13:00:00"/>
    <d v="2026-08-29T10:54:00"/>
    <s v="已完工"/>
    <s v="无"/>
    <m/>
    <m/>
    <n v="0"/>
    <n v="4"/>
    <n v="1"/>
    <n v="1"/>
    <n v="0"/>
    <n v="0"/>
    <n v="0"/>
    <s v="无"/>
    <n v="1"/>
  </r>
  <r>
    <x v="574"/>
    <x v="1"/>
    <x v="1"/>
    <s v="WH01"/>
    <d v="2026-08-27T15:25:00"/>
    <d v="2026-08-27T17:17:00"/>
    <d v="2026-08-29T15:00:00"/>
    <d v="2026-08-29T14:01:00"/>
    <d v="2026-08-29T19:00:00"/>
    <d v="2026-08-29T15:44:00"/>
    <s v="已完工"/>
    <s v="无"/>
    <m/>
    <m/>
    <n v="0"/>
    <m/>
    <n v="1"/>
    <n v="1"/>
    <n v="0"/>
    <n v="0"/>
    <n v="0"/>
    <s v="无"/>
    <n v="1"/>
  </r>
  <r>
    <x v="575"/>
    <x v="1"/>
    <x v="1"/>
    <s v="WH02"/>
    <d v="2026-08-27T15:55:00"/>
    <d v="2026-08-27T17:00:00"/>
    <d v="2026-08-28T12:00:00"/>
    <d v="2026-08-28T12:45:00"/>
    <d v="2026-08-28T16:00:00"/>
    <d v="2026-08-28T15:07:00"/>
    <s v="已完工"/>
    <s v="上门超时"/>
    <d v="2026-08-28T12:00:00"/>
    <d v="2026-08-28T16:36:00"/>
    <n v="0"/>
    <n v="2"/>
    <n v="0"/>
    <n v="1"/>
    <n v="1"/>
    <n v="1"/>
    <n v="0"/>
    <s v="上门超时"/>
    <n v="1"/>
  </r>
  <r>
    <x v="576"/>
    <x v="1"/>
    <x v="2"/>
    <s v="WH02"/>
    <d v="2026-08-27T16:00:00"/>
    <d v="2026-08-27T16:44:00"/>
    <d v="2026-08-28T15:00:00"/>
    <d v="2026-08-28T14:04:00"/>
    <d v="2026-08-28T18:00:00"/>
    <d v="2026-08-28T15:31:00"/>
    <s v="已完工"/>
    <s v="无"/>
    <m/>
    <m/>
    <n v="0"/>
    <m/>
    <n v="1"/>
    <n v="1"/>
    <n v="0"/>
    <n v="0"/>
    <n v="0"/>
    <s v="无"/>
    <n v="1"/>
  </r>
  <r>
    <x v="577"/>
    <x v="1"/>
    <x v="1"/>
    <s v="WH02"/>
    <d v="2026-08-27T16:40:00"/>
    <d v="2026-08-27T19:57:00"/>
    <d v="2026-08-28T12:00:00"/>
    <d v="2026-08-28T11:33:00"/>
    <d v="2026-08-28T16:00:00"/>
    <d v="2026-08-28T12:51:00"/>
    <s v="已完工"/>
    <s v="无"/>
    <m/>
    <m/>
    <n v="0"/>
    <n v="4"/>
    <n v="1"/>
    <n v="1"/>
    <n v="0"/>
    <n v="0"/>
    <n v="0"/>
    <s v="无"/>
    <n v="1"/>
  </r>
  <r>
    <x v="578"/>
    <x v="0"/>
    <x v="0"/>
    <s v="BJ01"/>
    <d v="2026-08-27T17:20:00"/>
    <d v="2026-08-28T15:45:00"/>
    <d v="2026-08-28T15:00:00"/>
    <d v="2026-08-28T17:22:00"/>
    <d v="2026-08-28T20:00:00"/>
    <d v="2026-08-28T19:41:00"/>
    <s v="已完工"/>
    <s v="派单超时"/>
    <d v="2026-08-28T15:00:00"/>
    <m/>
    <n v="0"/>
    <n v="5"/>
    <n v="0"/>
    <n v="1"/>
    <n v="1"/>
    <n v="0"/>
    <n v="1"/>
    <s v="派单超时"/>
    <n v="1"/>
  </r>
  <r>
    <x v="579"/>
    <x v="0"/>
    <x v="1"/>
    <s v="BJ02"/>
    <d v="2026-08-27T18:15:00"/>
    <d v="2026-08-27T18:58:00"/>
    <d v="2026-08-28T12:00:00"/>
    <d v="2026-08-28T10:56:00"/>
    <d v="2026-08-28T16:00:00"/>
    <d v="2026-08-28T12:13:00"/>
    <s v="已完工"/>
    <s v="无"/>
    <m/>
    <m/>
    <n v="0"/>
    <n v="4"/>
    <n v="1"/>
    <n v="1"/>
    <n v="0"/>
    <n v="0"/>
    <n v="0"/>
    <s v="无"/>
    <n v="1"/>
  </r>
  <r>
    <x v="580"/>
    <x v="1"/>
    <x v="1"/>
    <s v="WH02"/>
    <d v="2026-08-27T18:25:00"/>
    <d v="2026-08-27T19:14:00"/>
    <d v="2026-08-30T12:00:00"/>
    <d v="2026-08-30T11:37:00"/>
    <d v="2026-08-30T16:00:00"/>
    <d v="2026-08-30T13:01:00"/>
    <s v="已完工"/>
    <s v="无"/>
    <m/>
    <m/>
    <n v="0"/>
    <n v="4"/>
    <n v="1"/>
    <n v="1"/>
    <n v="0"/>
    <n v="0"/>
    <n v="0"/>
    <s v="无"/>
    <n v="1"/>
  </r>
  <r>
    <x v="581"/>
    <x v="0"/>
    <x v="1"/>
    <s v="BJ02"/>
    <d v="2026-08-27T18:55:00"/>
    <d v="2026-08-27T20:27:00"/>
    <d v="2026-08-28T15:00:00"/>
    <d v="2026-08-28T15:24:00"/>
    <d v="2026-08-28T19:00:00"/>
    <d v="2026-08-28T16:20:00"/>
    <s v="已完工"/>
    <s v="上门超时"/>
    <d v="2026-08-28T15:00:00"/>
    <d v="2026-08-28T19:46:00"/>
    <n v="0"/>
    <n v="3"/>
    <n v="0"/>
    <n v="1"/>
    <n v="1"/>
    <n v="1"/>
    <n v="0"/>
    <s v="上门超时"/>
    <n v="1"/>
  </r>
  <r>
    <x v="582"/>
    <x v="0"/>
    <x v="1"/>
    <s v="BJ01"/>
    <d v="2026-08-28T08:15:00"/>
    <d v="2026-08-29T18:15:00"/>
    <d v="2026-08-29T17:00:00"/>
    <d v="2026-08-29T18:45:00"/>
    <d v="2026-08-29T21:00:00"/>
    <d v="2026-08-29T21:03:00"/>
    <s v="已完工"/>
    <s v="派单超时"/>
    <d v="2026-08-29T17:00:00"/>
    <m/>
    <n v="0"/>
    <n v="3"/>
    <n v="0"/>
    <n v="0"/>
    <n v="1"/>
    <n v="0"/>
    <n v="1"/>
    <s v="派单超时"/>
    <n v="1"/>
  </r>
  <r>
    <x v="583"/>
    <x v="1"/>
    <x v="0"/>
    <s v="WH01"/>
    <d v="2026-08-28T08:50:00"/>
    <d v="2026-08-28T10:26:00"/>
    <d v="2026-08-30T17:00:00"/>
    <d v="2026-08-30T16:19:00"/>
    <d v="2026-08-30T22:00:00"/>
    <d v="2026-08-30T18:26:00"/>
    <s v="已完工"/>
    <s v="无"/>
    <m/>
    <m/>
    <n v="0"/>
    <n v="4"/>
    <n v="1"/>
    <n v="1"/>
    <n v="0"/>
    <n v="0"/>
    <n v="0"/>
    <s v="无"/>
    <n v="1"/>
  </r>
  <r>
    <x v="584"/>
    <x v="0"/>
    <x v="1"/>
    <s v="BJ02"/>
    <d v="2026-08-28T09:05:00"/>
    <d v="2026-08-28T09:55:00"/>
    <d v="2026-08-29T12:00:00"/>
    <d v="2026-08-29T11:25:00"/>
    <d v="2026-08-29T16:00:00"/>
    <d v="2026-08-29T13:16:00"/>
    <s v="已完工"/>
    <s v="无"/>
    <m/>
    <m/>
    <n v="0"/>
    <n v="3"/>
    <n v="1"/>
    <n v="1"/>
    <n v="0"/>
    <n v="0"/>
    <n v="0"/>
    <s v="无"/>
    <n v="1"/>
  </r>
  <r>
    <x v="585"/>
    <x v="0"/>
    <x v="1"/>
    <s v="BJ02"/>
    <d v="2026-08-28T09:35:00"/>
    <d v="2026-08-28T11:06:00"/>
    <d v="2026-08-29T17:00:00"/>
    <d v="2026-08-29T16:48:00"/>
    <d v="2026-08-29T21:00:00"/>
    <d v="2026-08-29T18:29:00"/>
    <s v="已完工"/>
    <s v="无"/>
    <m/>
    <m/>
    <n v="0"/>
    <n v="4"/>
    <n v="1"/>
    <n v="1"/>
    <n v="0"/>
    <n v="0"/>
    <n v="0"/>
    <s v="无"/>
    <n v="1"/>
  </r>
  <r>
    <x v="586"/>
    <x v="0"/>
    <x v="1"/>
    <s v="BJ01"/>
    <d v="2026-08-28T09:55:00"/>
    <d v="2026-08-28T11:15:00"/>
    <d v="2026-08-31T10:00:00"/>
    <d v="2026-08-31T09:46:00"/>
    <d v="2026-08-31T14:00:00"/>
    <d v="2026-08-31T10:46:00"/>
    <s v="已完工"/>
    <s v="无"/>
    <m/>
    <m/>
    <n v="0"/>
    <n v="5"/>
    <n v="1"/>
    <n v="1"/>
    <n v="0"/>
    <n v="0"/>
    <n v="0"/>
    <s v="无"/>
    <n v="1"/>
  </r>
  <r>
    <x v="587"/>
    <x v="1"/>
    <x v="2"/>
    <s v="WH01"/>
    <d v="2026-08-28T09:55:00"/>
    <d v="2026-08-28T10:47:00"/>
    <d v="2026-08-29T12:00:00"/>
    <d v="2026-08-29T11:50:00"/>
    <d v="2026-08-29T15:00:00"/>
    <d v="2026-08-29T12:55:00"/>
    <s v="已完工"/>
    <s v="无"/>
    <m/>
    <m/>
    <n v="0"/>
    <n v="5"/>
    <n v="1"/>
    <n v="1"/>
    <n v="0"/>
    <n v="0"/>
    <n v="0"/>
    <s v="无"/>
    <n v="1"/>
  </r>
  <r>
    <x v="588"/>
    <x v="0"/>
    <x v="1"/>
    <s v="BJ02"/>
    <d v="2026-08-28T10:15:00"/>
    <d v="2026-08-28T11:23:00"/>
    <d v="2026-08-29T17:00:00"/>
    <d v="2026-08-29T16:23:00"/>
    <d v="2026-08-29T21:00:00"/>
    <d v="2026-08-29T18:00:00"/>
    <s v="已完工"/>
    <s v="无"/>
    <m/>
    <m/>
    <n v="0"/>
    <n v="5"/>
    <n v="1"/>
    <n v="1"/>
    <n v="0"/>
    <n v="0"/>
    <n v="0"/>
    <s v="无"/>
    <n v="1"/>
  </r>
  <r>
    <x v="589"/>
    <x v="0"/>
    <x v="0"/>
    <s v="BJ01"/>
    <d v="2026-08-28T12:30:00"/>
    <d v="2026-08-28T13:36:00"/>
    <d v="2026-08-29T10:00:00"/>
    <d v="2026-08-29T09:30:00"/>
    <d v="2026-08-29T15:00:00"/>
    <d v="2026-08-29T11:24:00"/>
    <s v="已完工"/>
    <s v="无"/>
    <m/>
    <m/>
    <n v="0"/>
    <n v="5"/>
    <n v="1"/>
    <n v="1"/>
    <n v="0"/>
    <n v="0"/>
    <n v="0"/>
    <s v="无"/>
    <n v="1"/>
  </r>
  <r>
    <x v="590"/>
    <x v="2"/>
    <x v="0"/>
    <s v="CQ02"/>
    <d v="2026-08-28T12:35:00"/>
    <d v="2026-08-28T16:28:00"/>
    <d v="2026-08-29T17:00:00"/>
    <d v="2026-08-29T15:55:00"/>
    <d v="2026-08-29T22:00:00"/>
    <d v="2026-08-29T17:47:00"/>
    <s v="已完工"/>
    <s v="无"/>
    <m/>
    <m/>
    <n v="0"/>
    <n v="4"/>
    <n v="1"/>
    <n v="1"/>
    <n v="0"/>
    <n v="0"/>
    <n v="0"/>
    <s v="无"/>
    <n v="1"/>
  </r>
  <r>
    <x v="591"/>
    <x v="2"/>
    <x v="2"/>
    <s v="CQ02"/>
    <d v="2026-08-28T12:50:00"/>
    <d v="2026-08-28T15:35:00"/>
    <d v="2026-08-30T17:00:00"/>
    <d v="2026-08-30T17:29:00"/>
    <d v="2026-08-30T20:00:00"/>
    <d v="2026-08-30T19:39:00"/>
    <s v="已完工"/>
    <s v="上门超时"/>
    <d v="2026-08-30T17:00:00"/>
    <m/>
    <n v="0"/>
    <n v="3"/>
    <n v="0"/>
    <n v="1"/>
    <n v="1"/>
    <n v="0"/>
    <n v="1"/>
    <s v="上门超时"/>
    <n v="1"/>
  </r>
  <r>
    <x v="592"/>
    <x v="0"/>
    <x v="0"/>
    <s v="BJ02"/>
    <d v="2026-08-28T13:20:00"/>
    <d v="2026-08-30T10:34:00"/>
    <d v="2026-08-30T10:00:00"/>
    <d v="2026-08-30T12:32:00"/>
    <d v="2026-08-30T15:00:00"/>
    <d v="2026-08-30T14:46:00"/>
    <s v="已完工"/>
    <s v="派单超时"/>
    <d v="2026-08-30T10:00:00"/>
    <m/>
    <n v="0"/>
    <n v="4"/>
    <n v="0"/>
    <n v="1"/>
    <n v="1"/>
    <n v="0"/>
    <n v="1"/>
    <s v="派单超时"/>
    <n v="1"/>
  </r>
  <r>
    <x v="593"/>
    <x v="0"/>
    <x v="0"/>
    <s v="BJ02"/>
    <d v="2026-08-28T13:25:00"/>
    <d v="2026-08-28T15:54:00"/>
    <d v="2026-08-29T12:00:00"/>
    <d v="2026-08-29T11:39:00"/>
    <d v="2026-08-29T17:00:00"/>
    <d v="2026-08-29T13:36:00"/>
    <s v="已完工"/>
    <s v="无"/>
    <m/>
    <m/>
    <n v="0"/>
    <n v="5"/>
    <n v="1"/>
    <n v="1"/>
    <n v="0"/>
    <n v="0"/>
    <n v="0"/>
    <s v="无"/>
    <n v="1"/>
  </r>
  <r>
    <x v="594"/>
    <x v="1"/>
    <x v="1"/>
    <s v="WH02"/>
    <d v="2026-08-28T13:45:00"/>
    <d v="2026-08-29T11:08:00"/>
    <d v="2026-08-29T10:00:00"/>
    <d v="2026-08-29T12:00:00"/>
    <d v="2026-08-29T14:00:00"/>
    <d v="2026-08-29T13:20:00"/>
    <s v="已完工"/>
    <s v="派单超时"/>
    <d v="2026-08-29T10:00:00"/>
    <d v="2026-08-29T14:29:00"/>
    <n v="0"/>
    <m/>
    <n v="0"/>
    <n v="1"/>
    <n v="1"/>
    <n v="1"/>
    <n v="0"/>
    <s v="派单超时"/>
    <n v="1"/>
  </r>
  <r>
    <x v="595"/>
    <x v="2"/>
    <x v="1"/>
    <s v="CQ01"/>
    <d v="2026-08-28T14:25:00"/>
    <d v="2026-08-28T15:29:00"/>
    <d v="2026-08-29T15:00:00"/>
    <d v="2026-08-29T16:24:00"/>
    <d v="2026-08-29T19:00:00"/>
    <d v="2026-08-29T17:16:00"/>
    <s v="已完工"/>
    <s v="上门超时"/>
    <d v="2026-08-29T15:00:00"/>
    <d v="2026-08-29T21:39:00"/>
    <n v="0"/>
    <n v="4"/>
    <n v="0"/>
    <n v="1"/>
    <n v="1"/>
    <n v="1"/>
    <n v="0"/>
    <s v="上门超时"/>
    <n v="1"/>
  </r>
  <r>
    <x v="596"/>
    <x v="2"/>
    <x v="1"/>
    <s v="CQ02"/>
    <d v="2026-08-28T15:35:00"/>
    <m/>
    <d v="2026-08-29T10:00:00"/>
    <m/>
    <d v="2026-08-29T14:00:00"/>
    <m/>
    <s v="未完工"/>
    <s v="派单超时"/>
    <d v="2026-08-29T10:00:00"/>
    <m/>
    <n v="0"/>
    <m/>
    <n v="0"/>
    <n v="0"/>
    <n v="1"/>
    <n v="0"/>
    <n v="1"/>
    <s v="派单超时"/>
    <n v="1"/>
  </r>
  <r>
    <x v="597"/>
    <x v="0"/>
    <x v="1"/>
    <s v="BJ02"/>
    <d v="2026-08-28T17:25:00"/>
    <d v="2026-08-28T19:43:00"/>
    <d v="2026-08-31T10:00:00"/>
    <d v="2026-08-31T08:52:00"/>
    <d v="2026-08-31T14:00:00"/>
    <d v="2026-08-31T10:03:00"/>
    <s v="已完工"/>
    <s v="无"/>
    <m/>
    <m/>
    <n v="0"/>
    <m/>
    <n v="1"/>
    <n v="1"/>
    <n v="0"/>
    <n v="0"/>
    <n v="0"/>
    <s v="无"/>
    <n v="1"/>
  </r>
  <r>
    <x v="598"/>
    <x v="0"/>
    <x v="1"/>
    <s v="BJ01"/>
    <d v="2026-08-28T17:40:00"/>
    <d v="2026-08-28T20:01:00"/>
    <d v="2026-08-29T10:00:00"/>
    <d v="2026-08-29T09:15:00"/>
    <d v="2026-08-29T14:00:00"/>
    <d v="2026-08-29T10:43:00"/>
    <s v="已完工"/>
    <s v="无"/>
    <m/>
    <m/>
    <n v="1"/>
    <n v="3"/>
    <n v="1"/>
    <n v="1"/>
    <n v="0"/>
    <n v="0"/>
    <n v="0"/>
    <s v="无"/>
    <n v="1"/>
  </r>
  <r>
    <x v="599"/>
    <x v="1"/>
    <x v="1"/>
    <s v="WH02"/>
    <d v="2026-08-28T18:25:00"/>
    <d v="2026-08-28T21:00:00"/>
    <d v="2026-08-29T12:00:00"/>
    <d v="2026-08-29T13:44:00"/>
    <d v="2026-08-29T16:00:00"/>
    <d v="2026-08-29T16:02:00"/>
    <s v="已完工"/>
    <s v="上门超时"/>
    <d v="2026-08-29T12:00:00"/>
    <d v="2026-08-29T17:39:00"/>
    <n v="1"/>
    <n v="1"/>
    <n v="0"/>
    <n v="0"/>
    <n v="1"/>
    <n v="1"/>
    <n v="0"/>
    <s v="上门超时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FD047-2D0F-458E-936E-72A8D6C1DA6D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numFmtId="176" showAll="0"/>
    <pivotField showAll="0"/>
    <pivotField numFmtId="176"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计数项: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iceOrderAnalysis" displayName="ServiceOrderAnalysis" ref="A1:W601" totalsRowShown="0">
  <autoFilter ref="A1:W601" xr:uid="{00000000-0009-0000-0100-000001000000}"/>
  <tableColumns count="23">
    <tableColumn id="1" xr3:uid="{00000000-0010-0000-0000-000001000000}" name="order_id"/>
    <tableColumn id="2" xr3:uid="{00000000-0010-0000-0000-000002000000}" name="city"/>
    <tableColumn id="3" xr3:uid="{00000000-0010-0000-0000-000003000000}" name="service_type"/>
    <tableColumn id="4" xr3:uid="{00000000-0010-0000-0000-000004000000}" name="site_id"/>
    <tableColumn id="5" xr3:uid="{00000000-0010-0000-0000-000005000000}" name="created_at"/>
    <tableColumn id="6" xr3:uid="{00000000-0010-0000-0000-000006000000}" name="dispatched_at"/>
    <tableColumn id="7" xr3:uid="{00000000-0010-0000-0000-000007000000}" name="appointment_deadline"/>
    <tableColumn id="8" xr3:uid="{00000000-0010-0000-0000-000008000000}" name="arrived_at"/>
    <tableColumn id="9" xr3:uid="{00000000-0010-0000-0000-000009000000}" name="completion_deadline"/>
    <tableColumn id="10" xr3:uid="{00000000-0010-0000-0000-00000A000000}" name="completed_at"/>
    <tableColumn id="11" xr3:uid="{00000000-0010-0000-0000-00000B000000}" name="order_status"/>
    <tableColumn id="12" xr3:uid="{00000000-0010-0000-0000-00000C000000}" name="primary_exception"/>
    <tableColumn id="13" xr3:uid="{00000000-0010-0000-0000-00000D000000}" name="exception_detected_at"/>
    <tableColumn id="14" xr3:uid="{00000000-0010-0000-0000-00000E000000}" name="exception_closed_at"/>
    <tableColumn id="15" xr3:uid="{00000000-0010-0000-0000-00000F000000}" name="complaint_flag"/>
    <tableColumn id="16" xr3:uid="{00000000-0010-0000-0000-000010000000}" name="rating"/>
    <tableColumn id="17" xr3:uid="{00000000-0010-0000-0000-000011000000}" name="准时上门标记"/>
    <tableColumn id="18" xr3:uid="{00000000-0010-0000-0000-000012000000}" name="按期完工标记"/>
    <tableColumn id="19" xr3:uid="{00000000-0010-0000-0000-000013000000}" name="异常标记"/>
    <tableColumn id="20" xr3:uid="{00000000-0010-0000-0000-000014000000}" name="已闭环标记"/>
    <tableColumn id="21" xr3:uid="{00000000-0010-0000-0000-000015000000}" name="待闭环标记"/>
    <tableColumn id="22" xr3:uid="{00000000-0010-0000-0000-000016000000}" name="计算异常类型"/>
    <tableColumn id="23" xr3:uid="{00000000-0010-0000-0000-000017000000}" name="源标签一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B56"/>
  </sheetPr>
  <dimension ref="A2:N31"/>
  <sheetViews>
    <sheetView showGridLines="0" workbookViewId="0"/>
  </sheetViews>
  <sheetFormatPr defaultRowHeight="14"/>
  <cols>
    <col min="1" max="1" width="21.9140625" customWidth="1"/>
    <col min="2" max="4" width="13.1640625" customWidth="1"/>
    <col min="5" max="14" width="11.25" customWidth="1"/>
  </cols>
  <sheetData>
    <row r="2" spans="1:14" ht="19">
      <c r="A2" s="9" t="s">
        <v>0</v>
      </c>
    </row>
    <row r="3" spans="1:14">
      <c r="A3" s="10" t="s">
        <v>1</v>
      </c>
    </row>
    <row r="4" spans="1:1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6" spans="1:14">
      <c r="A6" s="7" t="s">
        <v>2</v>
      </c>
      <c r="D6" s="7" t="s">
        <v>3</v>
      </c>
      <c r="G6" s="7" t="s">
        <v>4</v>
      </c>
      <c r="J6" s="7" t="s">
        <v>5</v>
      </c>
      <c r="M6" s="7" t="s">
        <v>6</v>
      </c>
    </row>
    <row r="7" spans="1:14" ht="20">
      <c r="A7" s="15">
        <f>分组汇总!B9</f>
        <v>600</v>
      </c>
      <c r="D7" s="16">
        <f>分组汇总!D9</f>
        <v>0.78166666666666662</v>
      </c>
      <c r="G7" s="16">
        <f>分组汇总!F9</f>
        <v>0.84333333333333338</v>
      </c>
      <c r="J7" s="16">
        <f>分组汇总!H9</f>
        <v>6.6666666666666666E-2</v>
      </c>
      <c r="M7" s="16">
        <f>分组汇总!K9</f>
        <v>0.5393258426966292</v>
      </c>
    </row>
    <row r="10" spans="1:14" ht="21.75" customHeight="1">
      <c r="A10" s="2" t="s">
        <v>7</v>
      </c>
      <c r="B10" s="2" t="s">
        <v>3</v>
      </c>
      <c r="C10" s="2" t="s">
        <v>4</v>
      </c>
      <c r="D10" s="2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tr">
        <f>分组汇总!A6</f>
        <v>北京</v>
      </c>
      <c r="B11" s="11">
        <f>分组汇总!D6</f>
        <v>0.81746031746031744</v>
      </c>
      <c r="C11" s="11">
        <f>分组汇总!F6</f>
        <v>0.88492063492063489</v>
      </c>
      <c r="D11" s="1">
        <f>分组汇总!B6</f>
        <v>252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 t="str">
        <f>分组汇总!A7</f>
        <v>武汉</v>
      </c>
      <c r="B12" s="11">
        <f>分组汇总!D7</f>
        <v>0.772020725388601</v>
      </c>
      <c r="C12" s="11">
        <f>分组汇总!F7</f>
        <v>0.8393782383419689</v>
      </c>
      <c r="D12" s="1">
        <f>分组汇总!B7</f>
        <v>193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 t="str">
        <f>分组汇总!A8</f>
        <v>重庆</v>
      </c>
      <c r="B13" s="11">
        <f>分组汇总!D8</f>
        <v>0.73548387096774193</v>
      </c>
      <c r="C13" s="11">
        <f>分组汇总!F8</f>
        <v>0.78064516129032258</v>
      </c>
      <c r="D13" s="1">
        <f>分组汇总!B8</f>
        <v>155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1.75" customHeight="1">
      <c r="A18" s="2" t="s">
        <v>8</v>
      </c>
      <c r="B18" s="2" t="s">
        <v>6</v>
      </c>
      <c r="C18" s="2" t="s">
        <v>9</v>
      </c>
      <c r="D18" s="2" t="s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tr">
        <f>分组汇总!A22</f>
        <v>BJ01</v>
      </c>
      <c r="B19" s="11">
        <f>分组汇总!K22</f>
        <v>0.34782608695652173</v>
      </c>
      <c r="C19" s="1">
        <f>分组汇总!I22</f>
        <v>23</v>
      </c>
      <c r="D19" s="1">
        <f>分组汇总!B22</f>
        <v>128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tr">
        <f>分组汇总!A23</f>
        <v>BJ02</v>
      </c>
      <c r="B20" s="11">
        <f>分组汇总!K23</f>
        <v>0.63157894736842102</v>
      </c>
      <c r="C20" s="1">
        <f>分组汇总!I23</f>
        <v>38</v>
      </c>
      <c r="D20" s="1">
        <f>分组汇总!B23</f>
        <v>124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tr">
        <f>分组汇总!A24</f>
        <v>WH01</v>
      </c>
      <c r="B21" s="11">
        <f>分组汇总!K24</f>
        <v>0.35</v>
      </c>
      <c r="C21" s="1">
        <f>分组汇总!I24</f>
        <v>20</v>
      </c>
      <c r="D21" s="1">
        <f>分组汇总!B24</f>
        <v>94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 t="str">
        <f>分组汇总!A25</f>
        <v>WH02</v>
      </c>
      <c r="B22" s="11">
        <f>分组汇总!K25</f>
        <v>0.58974358974358976</v>
      </c>
      <c r="C22" s="1">
        <f>分组汇总!I25</f>
        <v>39</v>
      </c>
      <c r="D22" s="1">
        <f>分组汇总!B25</f>
        <v>99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 t="str">
        <f>分组汇总!A26</f>
        <v>CQ01</v>
      </c>
      <c r="B23" s="11">
        <f>分组汇总!K26</f>
        <v>0.53125</v>
      </c>
      <c r="C23" s="1">
        <f>分组汇总!I26</f>
        <v>32</v>
      </c>
      <c r="D23" s="1">
        <f>分组汇总!B26</f>
        <v>79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tr">
        <f>分组汇总!A27</f>
        <v>CQ02</v>
      </c>
      <c r="B24" s="11">
        <f>分组汇总!K27</f>
        <v>0.65384615384615385</v>
      </c>
      <c r="C24" s="1">
        <f>分组汇总!I27</f>
        <v>26</v>
      </c>
      <c r="D24" s="1">
        <f>分组汇总!B27</f>
        <v>76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7" t="s">
        <v>10</v>
      </c>
      <c r="B27" s="18"/>
      <c r="C27" s="18"/>
      <c r="D27" s="18"/>
      <c r="E27" s="18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9" t="s">
        <v>11</v>
      </c>
      <c r="B28" s="18"/>
      <c r="C28" s="18"/>
      <c r="D28" s="18"/>
      <c r="E28" s="18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7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9" t="s">
        <v>12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mergeCells count="3">
    <mergeCell ref="A27:E27"/>
    <mergeCell ref="A28:E28"/>
    <mergeCell ref="A30:N30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E8B"/>
  </sheetPr>
  <dimension ref="A2:K40"/>
  <sheetViews>
    <sheetView showGridLines="0" workbookViewId="0"/>
  </sheetViews>
  <sheetFormatPr defaultRowHeight="14"/>
  <cols>
    <col min="1" max="1" width="14.75" customWidth="1"/>
    <col min="2" max="3" width="13.1640625" customWidth="1"/>
    <col min="4" max="4" width="14" customWidth="1"/>
    <col min="5" max="5" width="13.1640625" customWidth="1"/>
    <col min="6" max="6" width="14" customWidth="1"/>
    <col min="7" max="7" width="13.1640625" customWidth="1"/>
    <col min="8" max="8" width="14" customWidth="1"/>
    <col min="9" max="10" width="13.1640625" customWidth="1"/>
    <col min="11" max="11" width="14" customWidth="1"/>
  </cols>
  <sheetData>
    <row r="2" spans="1:11" ht="19">
      <c r="A2" s="9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0" t="s">
        <v>14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2.5" customHeight="1">
      <c r="A5" s="2" t="s">
        <v>15</v>
      </c>
      <c r="B5" s="2" t="s">
        <v>2</v>
      </c>
      <c r="C5" s="2" t="s">
        <v>16</v>
      </c>
      <c r="D5" s="2" t="s">
        <v>3</v>
      </c>
      <c r="E5" s="2" t="s">
        <v>17</v>
      </c>
      <c r="F5" s="2" t="s">
        <v>4</v>
      </c>
      <c r="G5" s="2" t="s">
        <v>18</v>
      </c>
      <c r="H5" s="2" t="s">
        <v>5</v>
      </c>
      <c r="I5" s="2" t="s">
        <v>9</v>
      </c>
      <c r="J5" s="2" t="s">
        <v>19</v>
      </c>
      <c r="K5" s="2" t="s">
        <v>6</v>
      </c>
    </row>
    <row r="6" spans="1:11">
      <c r="A6" s="1" t="s">
        <v>20</v>
      </c>
      <c r="B6" s="1">
        <f>COUNTIF(工单明细!$B$2:$B$601,$A6)</f>
        <v>252</v>
      </c>
      <c r="C6" s="1">
        <f>SUMIF(工单明细!$B$2:$B$601,$A6,工单明细!$Q$2:$Q$601)</f>
        <v>206</v>
      </c>
      <c r="D6" s="11">
        <f>IFERROR(C6/B6,0)</f>
        <v>0.81746031746031744</v>
      </c>
      <c r="E6" s="1">
        <f>SUMIF(工单明细!$B$2:$B$601,$A6,工单明细!$R$2:$R$601)</f>
        <v>223</v>
      </c>
      <c r="F6" s="11">
        <f>IFERROR(E6/B6,0)</f>
        <v>0.88492063492063489</v>
      </c>
      <c r="G6" s="1">
        <f>SUMIF(工单明细!$B$2:$B$601,$A6,工单明细!$O$2:$O$601)</f>
        <v>14</v>
      </c>
      <c r="H6" s="11">
        <f>IFERROR(G6/B6,0)</f>
        <v>5.5555555555555552E-2</v>
      </c>
      <c r="I6" s="1">
        <f>SUMIF(工单明细!$B$2:$B$601,$A6,工单明细!$S$2:$S$601)</f>
        <v>61</v>
      </c>
      <c r="J6" s="1">
        <f>SUMIF(工单明细!$B$2:$B$601,$A6,工单明细!$T$2:$T$601)</f>
        <v>32</v>
      </c>
      <c r="K6" s="11">
        <f>IFERROR(J6/I6,0)</f>
        <v>0.52459016393442626</v>
      </c>
    </row>
    <row r="7" spans="1:11">
      <c r="A7" s="1" t="s">
        <v>21</v>
      </c>
      <c r="B7" s="1">
        <f>COUNTIF(工单明细!$B$2:$B$601,$A7)</f>
        <v>193</v>
      </c>
      <c r="C7" s="1">
        <f>SUMIF(工单明细!$B$2:$B$601,$A7,工单明细!$Q$2:$Q$601)</f>
        <v>149</v>
      </c>
      <c r="D7" s="11">
        <f>IFERROR(C7/B7,0)</f>
        <v>0.772020725388601</v>
      </c>
      <c r="E7" s="1">
        <f>SUMIF(工单明细!$B$2:$B$601,$A7,工单明细!$R$2:$R$601)</f>
        <v>162</v>
      </c>
      <c r="F7" s="11">
        <f>IFERROR(E7/B7,0)</f>
        <v>0.8393782383419689</v>
      </c>
      <c r="G7" s="1">
        <f>SUMIF(工单明细!$B$2:$B$601,$A7,工单明细!$O$2:$O$601)</f>
        <v>10</v>
      </c>
      <c r="H7" s="11">
        <f>IFERROR(G7/B7,0)</f>
        <v>5.181347150259067E-2</v>
      </c>
      <c r="I7" s="1">
        <f>SUMIF(工单明细!$B$2:$B$601,$A7,工单明细!$S$2:$S$601)</f>
        <v>59</v>
      </c>
      <c r="J7" s="1">
        <f>SUMIF(工单明细!$B$2:$B$601,$A7,工单明细!$T$2:$T$601)</f>
        <v>30</v>
      </c>
      <c r="K7" s="11">
        <f>IFERROR(J7/I7,0)</f>
        <v>0.50847457627118642</v>
      </c>
    </row>
    <row r="8" spans="1:11">
      <c r="A8" s="1" t="s">
        <v>22</v>
      </c>
      <c r="B8" s="1">
        <f>COUNTIF(工单明细!$B$2:$B$601,$A8)</f>
        <v>155</v>
      </c>
      <c r="C8" s="1">
        <f>SUMIF(工单明细!$B$2:$B$601,$A8,工单明细!$Q$2:$Q$601)</f>
        <v>114</v>
      </c>
      <c r="D8" s="11">
        <f>IFERROR(C8/B8,0)</f>
        <v>0.73548387096774193</v>
      </c>
      <c r="E8" s="1">
        <f>SUMIF(工单明细!$B$2:$B$601,$A8,工单明细!$R$2:$R$601)</f>
        <v>121</v>
      </c>
      <c r="F8" s="11">
        <f>IFERROR(E8/B8,0)</f>
        <v>0.78064516129032258</v>
      </c>
      <c r="G8" s="1">
        <f>SUMIF(工单明细!$B$2:$B$601,$A8,工单明细!$O$2:$O$601)</f>
        <v>16</v>
      </c>
      <c r="H8" s="11">
        <f>IFERROR(G8/B8,0)</f>
        <v>0.1032258064516129</v>
      </c>
      <c r="I8" s="1">
        <f>SUMIF(工单明细!$B$2:$B$601,$A8,工单明细!$S$2:$S$601)</f>
        <v>58</v>
      </c>
      <c r="J8" s="1">
        <f>SUMIF(工单明细!$B$2:$B$601,$A8,工单明细!$T$2:$T$601)</f>
        <v>34</v>
      </c>
      <c r="K8" s="11">
        <f>IFERROR(J8/I8,0)</f>
        <v>0.58620689655172409</v>
      </c>
    </row>
    <row r="9" spans="1:11">
      <c r="A9" s="8" t="s">
        <v>23</v>
      </c>
      <c r="B9" s="8">
        <f>SUM(B6:B8)</f>
        <v>600</v>
      </c>
      <c r="C9" s="8">
        <f>SUM(C6:C8)</f>
        <v>469</v>
      </c>
      <c r="D9" s="12">
        <f>IFERROR(C9/B9,0)</f>
        <v>0.78166666666666662</v>
      </c>
      <c r="E9" s="8">
        <f>SUM(E6:E8)</f>
        <v>506</v>
      </c>
      <c r="F9" s="12">
        <f>IFERROR(E9/B9,0)</f>
        <v>0.84333333333333338</v>
      </c>
      <c r="G9" s="8">
        <f>SUM(G6:G8)</f>
        <v>40</v>
      </c>
      <c r="H9" s="12">
        <f>IFERROR(G9/B9,0)</f>
        <v>6.6666666666666666E-2</v>
      </c>
      <c r="I9" s="8">
        <f>SUM(I6:I8)</f>
        <v>178</v>
      </c>
      <c r="J9" s="8">
        <f>SUM(J6:J8)</f>
        <v>96</v>
      </c>
      <c r="K9" s="12">
        <f>IFERROR(J9/I9,0)</f>
        <v>0.5393258426966292</v>
      </c>
    </row>
    <row r="10" spans="1:11">
      <c r="A10" s="1"/>
      <c r="B10" s="1"/>
      <c r="C10" s="1"/>
      <c r="D10" s="11"/>
      <c r="E10" s="1"/>
      <c r="F10" s="11"/>
      <c r="G10" s="1"/>
      <c r="H10" s="11"/>
      <c r="I10" s="1"/>
      <c r="J10" s="1"/>
      <c r="K10" s="11"/>
    </row>
    <row r="11" spans="1:11">
      <c r="A11" s="1"/>
      <c r="B11" s="1"/>
      <c r="C11" s="1"/>
      <c r="D11" s="11"/>
      <c r="E11" s="1"/>
      <c r="F11" s="11"/>
      <c r="G11" s="1"/>
      <c r="H11" s="11"/>
      <c r="I11" s="1"/>
      <c r="J11" s="1"/>
      <c r="K11" s="11"/>
    </row>
    <row r="12" spans="1:11">
      <c r="A12" s="1"/>
      <c r="B12" s="1"/>
      <c r="C12" s="1"/>
      <c r="D12" s="11"/>
      <c r="E12" s="1"/>
      <c r="F12" s="11"/>
      <c r="G12" s="1"/>
      <c r="H12" s="11"/>
      <c r="I12" s="1"/>
      <c r="J12" s="1"/>
      <c r="K12" s="11"/>
    </row>
    <row r="13" spans="1:11" ht="22.5" customHeight="1">
      <c r="A13" s="2" t="s">
        <v>15</v>
      </c>
      <c r="B13" s="2" t="s">
        <v>2</v>
      </c>
      <c r="C13" s="2" t="s">
        <v>16</v>
      </c>
      <c r="D13" s="13" t="s">
        <v>3</v>
      </c>
      <c r="E13" s="2" t="s">
        <v>17</v>
      </c>
      <c r="F13" s="13" t="s">
        <v>4</v>
      </c>
      <c r="G13" s="2" t="s">
        <v>18</v>
      </c>
      <c r="H13" s="13" t="s">
        <v>5</v>
      </c>
      <c r="I13" s="2" t="s">
        <v>9</v>
      </c>
      <c r="J13" s="2" t="s">
        <v>19</v>
      </c>
      <c r="K13" s="13" t="s">
        <v>6</v>
      </c>
    </row>
    <row r="14" spans="1:11">
      <c r="A14" s="1" t="s">
        <v>24</v>
      </c>
      <c r="B14" s="1">
        <f>COUNTIF(工单明细!$C$2:$C$601,$A14)</f>
        <v>268</v>
      </c>
      <c r="C14" s="1">
        <f>SUMIF(工单明细!$C$2:$C$601,$A14,工单明细!$Q$2:$Q$601)</f>
        <v>208</v>
      </c>
      <c r="D14" s="11">
        <f>IFERROR(C14/B14,0)</f>
        <v>0.77611940298507465</v>
      </c>
      <c r="E14" s="1">
        <f>SUMIF(工单明细!$C$2:$C$601,$A14,工单明细!$R$2:$R$601)</f>
        <v>223</v>
      </c>
      <c r="F14" s="11">
        <f>IFERROR(E14/B14,0)</f>
        <v>0.83208955223880599</v>
      </c>
      <c r="G14" s="1">
        <f>SUMIF(工单明细!$C$2:$C$601,$A14,工单明细!$O$2:$O$601)</f>
        <v>20</v>
      </c>
      <c r="H14" s="11">
        <f>IFERROR(G14/B14,0)</f>
        <v>7.4626865671641784E-2</v>
      </c>
      <c r="I14" s="1">
        <f>SUMIF(工单明细!$C$2:$C$601,$A14,工单明细!$S$2:$S$601)</f>
        <v>81</v>
      </c>
      <c r="J14" s="1">
        <f>SUMIF(工单明细!$C$2:$C$601,$A14,工单明细!$T$2:$T$601)</f>
        <v>40</v>
      </c>
      <c r="K14" s="11">
        <f>IFERROR(J14/I14,0)</f>
        <v>0.49382716049382713</v>
      </c>
    </row>
    <row r="15" spans="1:11">
      <c r="A15" s="1" t="s">
        <v>25</v>
      </c>
      <c r="B15" s="1">
        <f>COUNTIF(工单明细!$C$2:$C$601,$A15)</f>
        <v>245</v>
      </c>
      <c r="C15" s="1">
        <f>SUMIF(工单明细!$C$2:$C$601,$A15,工单明细!$Q$2:$Q$601)</f>
        <v>192</v>
      </c>
      <c r="D15" s="11">
        <f>IFERROR(C15/B15,0)</f>
        <v>0.78367346938775506</v>
      </c>
      <c r="E15" s="1">
        <f>SUMIF(工单明细!$C$2:$C$601,$A15,工单明细!$R$2:$R$601)</f>
        <v>209</v>
      </c>
      <c r="F15" s="11">
        <f>IFERROR(E15/B15,0)</f>
        <v>0.85306122448979593</v>
      </c>
      <c r="G15" s="1">
        <f>SUMIF(工单明细!$C$2:$C$601,$A15,工单明细!$O$2:$O$601)</f>
        <v>16</v>
      </c>
      <c r="H15" s="11">
        <f>IFERROR(G15/B15,0)</f>
        <v>6.5306122448979598E-2</v>
      </c>
      <c r="I15" s="1">
        <f>SUMIF(工单明细!$C$2:$C$601,$A15,工单明细!$S$2:$S$601)</f>
        <v>76</v>
      </c>
      <c r="J15" s="1">
        <f>SUMIF(工单明细!$C$2:$C$601,$A15,工单明细!$T$2:$T$601)</f>
        <v>46</v>
      </c>
      <c r="K15" s="11">
        <f>IFERROR(J15/I15,0)</f>
        <v>0.60526315789473684</v>
      </c>
    </row>
    <row r="16" spans="1:11">
      <c r="A16" s="1" t="s">
        <v>26</v>
      </c>
      <c r="B16" s="1">
        <f>COUNTIF(工单明细!$C$2:$C$601,$A16)</f>
        <v>87</v>
      </c>
      <c r="C16" s="1">
        <f>SUMIF(工单明细!$C$2:$C$601,$A16,工单明细!$Q$2:$Q$601)</f>
        <v>69</v>
      </c>
      <c r="D16" s="11">
        <f>IFERROR(C16/B16,0)</f>
        <v>0.7931034482758621</v>
      </c>
      <c r="E16" s="1">
        <f>SUMIF(工单明细!$C$2:$C$601,$A16,工单明细!$R$2:$R$601)</f>
        <v>74</v>
      </c>
      <c r="F16" s="11">
        <f>IFERROR(E16/B16,0)</f>
        <v>0.85057471264367812</v>
      </c>
      <c r="G16" s="1">
        <f>SUMIF(工单明细!$C$2:$C$601,$A16,工单明细!$O$2:$O$601)</f>
        <v>4</v>
      </c>
      <c r="H16" s="11">
        <f>IFERROR(G16/B16,0)</f>
        <v>4.5977011494252873E-2</v>
      </c>
      <c r="I16" s="1">
        <f>SUMIF(工单明细!$C$2:$C$601,$A16,工单明细!$S$2:$S$601)</f>
        <v>21</v>
      </c>
      <c r="J16" s="1">
        <f>SUMIF(工单明细!$C$2:$C$601,$A16,工单明细!$T$2:$T$601)</f>
        <v>10</v>
      </c>
      <c r="K16" s="11">
        <f>IFERROR(J16/I16,0)</f>
        <v>0.47619047619047616</v>
      </c>
    </row>
    <row r="17" spans="1:11">
      <c r="A17" s="8" t="s">
        <v>23</v>
      </c>
      <c r="B17" s="8">
        <f>SUM(B14:B16)</f>
        <v>600</v>
      </c>
      <c r="C17" s="8">
        <f>SUM(C14:C16)</f>
        <v>469</v>
      </c>
      <c r="D17" s="12">
        <f>IFERROR(C17/B17,0)</f>
        <v>0.78166666666666662</v>
      </c>
      <c r="E17" s="8">
        <f>SUM(E14:E16)</f>
        <v>506</v>
      </c>
      <c r="F17" s="12">
        <f>IFERROR(E17/B17,0)</f>
        <v>0.84333333333333338</v>
      </c>
      <c r="G17" s="8">
        <f>SUM(G14:G16)</f>
        <v>40</v>
      </c>
      <c r="H17" s="12">
        <f>IFERROR(G17/B17,0)</f>
        <v>6.6666666666666666E-2</v>
      </c>
      <c r="I17" s="8">
        <f>SUM(I14:I16)</f>
        <v>178</v>
      </c>
      <c r="J17" s="8">
        <f>SUM(J14:J16)</f>
        <v>96</v>
      </c>
      <c r="K17" s="12">
        <f>IFERROR(J17/I17,0)</f>
        <v>0.5393258426966292</v>
      </c>
    </row>
    <row r="18" spans="1:11">
      <c r="A18" s="1"/>
      <c r="B18" s="1"/>
      <c r="C18" s="1"/>
      <c r="D18" s="11"/>
      <c r="E18" s="1"/>
      <c r="F18" s="11"/>
      <c r="G18" s="1"/>
      <c r="H18" s="11"/>
      <c r="I18" s="1"/>
      <c r="J18" s="1"/>
      <c r="K18" s="11"/>
    </row>
    <row r="19" spans="1:11">
      <c r="A19" s="1"/>
      <c r="B19" s="1"/>
      <c r="C19" s="1"/>
      <c r="D19" s="11"/>
      <c r="E19" s="1"/>
      <c r="F19" s="11"/>
      <c r="G19" s="1"/>
      <c r="H19" s="11"/>
      <c r="I19" s="1"/>
      <c r="J19" s="1"/>
      <c r="K19" s="11"/>
    </row>
    <row r="20" spans="1:11">
      <c r="A20" s="1"/>
      <c r="B20" s="1"/>
      <c r="C20" s="1"/>
      <c r="D20" s="11"/>
      <c r="E20" s="1"/>
      <c r="F20" s="11"/>
      <c r="G20" s="1"/>
      <c r="H20" s="11"/>
      <c r="I20" s="1"/>
      <c r="J20" s="1"/>
      <c r="K20" s="11"/>
    </row>
    <row r="21" spans="1:11" ht="22.5" customHeight="1">
      <c r="A21" s="2" t="s">
        <v>15</v>
      </c>
      <c r="B21" s="2" t="s">
        <v>2</v>
      </c>
      <c r="C21" s="2" t="s">
        <v>16</v>
      </c>
      <c r="D21" s="13" t="s">
        <v>3</v>
      </c>
      <c r="E21" s="2" t="s">
        <v>17</v>
      </c>
      <c r="F21" s="13" t="s">
        <v>4</v>
      </c>
      <c r="G21" s="2" t="s">
        <v>18</v>
      </c>
      <c r="H21" s="13" t="s">
        <v>5</v>
      </c>
      <c r="I21" s="2" t="s">
        <v>9</v>
      </c>
      <c r="J21" s="2" t="s">
        <v>19</v>
      </c>
      <c r="K21" s="13" t="s">
        <v>6</v>
      </c>
    </row>
    <row r="22" spans="1:11">
      <c r="A22" s="1" t="s">
        <v>27</v>
      </c>
      <c r="B22" s="1">
        <f>COUNTIF(工单明细!$D$2:$D$601,$A22)</f>
        <v>128</v>
      </c>
      <c r="C22" s="1">
        <f>SUMIF(工单明细!$D$2:$D$601,$A22,工单明细!$Q$2:$Q$601)</f>
        <v>108</v>
      </c>
      <c r="D22" s="11">
        <f t="shared" ref="D22:D28" si="0">IFERROR(C22/B22,0)</f>
        <v>0.84375</v>
      </c>
      <c r="E22" s="1">
        <f>SUMIF(工单明细!$D$2:$D$601,$A22,工单明细!$R$2:$R$601)</f>
        <v>115</v>
      </c>
      <c r="F22" s="11">
        <f t="shared" ref="F22:F28" si="1">IFERROR(E22/B22,0)</f>
        <v>0.8984375</v>
      </c>
      <c r="G22" s="1">
        <f>SUMIF(工单明细!$D$2:$D$601,$A22,工单明细!$O$2:$O$601)</f>
        <v>6</v>
      </c>
      <c r="H22" s="11">
        <f t="shared" ref="H22:H28" si="2">IFERROR(G22/B22,0)</f>
        <v>4.6875E-2</v>
      </c>
      <c r="I22" s="1">
        <f>SUMIF(工单明细!$D$2:$D$601,$A22,工单明细!$S$2:$S$601)</f>
        <v>23</v>
      </c>
      <c r="J22" s="1">
        <f>SUMIF(工单明细!$D$2:$D$601,$A22,工单明细!$T$2:$T$601)</f>
        <v>8</v>
      </c>
      <c r="K22" s="11">
        <f t="shared" ref="K22:K28" si="3">IFERROR(J22/I22,0)</f>
        <v>0.34782608695652173</v>
      </c>
    </row>
    <row r="23" spans="1:11">
      <c r="A23" s="1" t="s">
        <v>28</v>
      </c>
      <c r="B23" s="1">
        <f>COUNTIF(工单明细!$D$2:$D$601,$A23)</f>
        <v>124</v>
      </c>
      <c r="C23" s="1">
        <f>SUMIF(工单明细!$D$2:$D$601,$A23,工单明细!$Q$2:$Q$601)</f>
        <v>98</v>
      </c>
      <c r="D23" s="11">
        <f t="shared" si="0"/>
        <v>0.79032258064516125</v>
      </c>
      <c r="E23" s="1">
        <f>SUMIF(工单明细!$D$2:$D$601,$A23,工单明细!$R$2:$R$601)</f>
        <v>108</v>
      </c>
      <c r="F23" s="11">
        <f t="shared" si="1"/>
        <v>0.87096774193548387</v>
      </c>
      <c r="G23" s="1">
        <f>SUMIF(工单明细!$D$2:$D$601,$A23,工单明细!$O$2:$O$601)</f>
        <v>8</v>
      </c>
      <c r="H23" s="11">
        <f t="shared" si="2"/>
        <v>6.4516129032258063E-2</v>
      </c>
      <c r="I23" s="1">
        <f>SUMIF(工单明细!$D$2:$D$601,$A23,工单明细!$S$2:$S$601)</f>
        <v>38</v>
      </c>
      <c r="J23" s="1">
        <f>SUMIF(工单明细!$D$2:$D$601,$A23,工单明细!$T$2:$T$601)</f>
        <v>24</v>
      </c>
      <c r="K23" s="11">
        <f t="shared" si="3"/>
        <v>0.63157894736842102</v>
      </c>
    </row>
    <row r="24" spans="1:11">
      <c r="A24" s="1" t="s">
        <v>29</v>
      </c>
      <c r="B24" s="1">
        <f>COUNTIF(工单明细!$D$2:$D$601,$A24)</f>
        <v>94</v>
      </c>
      <c r="C24" s="1">
        <f>SUMIF(工单明细!$D$2:$D$601,$A24,工单明细!$Q$2:$Q$601)</f>
        <v>78</v>
      </c>
      <c r="D24" s="11">
        <f t="shared" si="0"/>
        <v>0.82978723404255317</v>
      </c>
      <c r="E24" s="1">
        <f>SUMIF(工单明细!$D$2:$D$601,$A24,工单明细!$R$2:$R$601)</f>
        <v>81</v>
      </c>
      <c r="F24" s="11">
        <f t="shared" si="1"/>
        <v>0.86170212765957444</v>
      </c>
      <c r="G24" s="1">
        <f>SUMIF(工单明细!$D$2:$D$601,$A24,工单明细!$O$2:$O$601)</f>
        <v>4</v>
      </c>
      <c r="H24" s="11">
        <f t="shared" si="2"/>
        <v>4.2553191489361701E-2</v>
      </c>
      <c r="I24" s="1">
        <f>SUMIF(工单明细!$D$2:$D$601,$A24,工单明细!$S$2:$S$601)</f>
        <v>20</v>
      </c>
      <c r="J24" s="1">
        <f>SUMIF(工单明细!$D$2:$D$601,$A24,工单明细!$T$2:$T$601)</f>
        <v>7</v>
      </c>
      <c r="K24" s="11">
        <f t="shared" si="3"/>
        <v>0.35</v>
      </c>
    </row>
    <row r="25" spans="1:11">
      <c r="A25" s="1" t="s">
        <v>30</v>
      </c>
      <c r="B25" s="1">
        <f>COUNTIF(工单明细!$D$2:$D$601,$A25)</f>
        <v>99</v>
      </c>
      <c r="C25" s="1">
        <f>SUMIF(工单明细!$D$2:$D$601,$A25,工单明细!$Q$2:$Q$601)</f>
        <v>71</v>
      </c>
      <c r="D25" s="11">
        <f t="shared" si="0"/>
        <v>0.71717171717171713</v>
      </c>
      <c r="E25" s="1">
        <f>SUMIF(工单明细!$D$2:$D$601,$A25,工单明细!$R$2:$R$601)</f>
        <v>81</v>
      </c>
      <c r="F25" s="11">
        <f t="shared" si="1"/>
        <v>0.81818181818181823</v>
      </c>
      <c r="G25" s="1">
        <f>SUMIF(工单明细!$D$2:$D$601,$A25,工单明细!$O$2:$O$601)</f>
        <v>6</v>
      </c>
      <c r="H25" s="11">
        <f t="shared" si="2"/>
        <v>6.0606060606060608E-2</v>
      </c>
      <c r="I25" s="1">
        <f>SUMIF(工单明细!$D$2:$D$601,$A25,工单明细!$S$2:$S$601)</f>
        <v>39</v>
      </c>
      <c r="J25" s="1">
        <f>SUMIF(工单明细!$D$2:$D$601,$A25,工单明细!$T$2:$T$601)</f>
        <v>23</v>
      </c>
      <c r="K25" s="11">
        <f t="shared" si="3"/>
        <v>0.58974358974358976</v>
      </c>
    </row>
    <row r="26" spans="1:11">
      <c r="A26" s="1" t="s">
        <v>31</v>
      </c>
      <c r="B26" s="1">
        <f>COUNTIF(工单明细!$D$2:$D$601,$A26)</f>
        <v>79</v>
      </c>
      <c r="C26" s="1">
        <f>SUMIF(工单明细!$D$2:$D$601,$A26,工单明细!$Q$2:$Q$601)</f>
        <v>60</v>
      </c>
      <c r="D26" s="11">
        <f t="shared" si="0"/>
        <v>0.759493670886076</v>
      </c>
      <c r="E26" s="1">
        <f>SUMIF(工单明细!$D$2:$D$601,$A26,工单明细!$R$2:$R$601)</f>
        <v>56</v>
      </c>
      <c r="F26" s="11">
        <f t="shared" si="1"/>
        <v>0.70886075949367089</v>
      </c>
      <c r="G26" s="1">
        <f>SUMIF(工单明细!$D$2:$D$601,$A26,工单明细!$O$2:$O$601)</f>
        <v>9</v>
      </c>
      <c r="H26" s="11">
        <f t="shared" si="2"/>
        <v>0.11392405063291139</v>
      </c>
      <c r="I26" s="1">
        <f>SUMIF(工单明细!$D$2:$D$601,$A26,工单明细!$S$2:$S$601)</f>
        <v>32</v>
      </c>
      <c r="J26" s="1">
        <f>SUMIF(工单明细!$D$2:$D$601,$A26,工单明细!$T$2:$T$601)</f>
        <v>17</v>
      </c>
      <c r="K26" s="11">
        <f t="shared" si="3"/>
        <v>0.53125</v>
      </c>
    </row>
    <row r="27" spans="1:11">
      <c r="A27" s="1" t="s">
        <v>32</v>
      </c>
      <c r="B27" s="1">
        <f>COUNTIF(工单明细!$D$2:$D$601,$A27)</f>
        <v>76</v>
      </c>
      <c r="C27" s="1">
        <f>SUMIF(工单明细!$D$2:$D$601,$A27,工单明细!$Q$2:$Q$601)</f>
        <v>54</v>
      </c>
      <c r="D27" s="11">
        <f t="shared" si="0"/>
        <v>0.71052631578947367</v>
      </c>
      <c r="E27" s="1">
        <f>SUMIF(工单明细!$D$2:$D$601,$A27,工单明细!$R$2:$R$601)</f>
        <v>65</v>
      </c>
      <c r="F27" s="11">
        <f t="shared" si="1"/>
        <v>0.85526315789473684</v>
      </c>
      <c r="G27" s="1">
        <f>SUMIF(工单明细!$D$2:$D$601,$A27,工单明细!$O$2:$O$601)</f>
        <v>7</v>
      </c>
      <c r="H27" s="11">
        <f t="shared" si="2"/>
        <v>9.2105263157894732E-2</v>
      </c>
      <c r="I27" s="1">
        <f>SUMIF(工单明细!$D$2:$D$601,$A27,工单明细!$S$2:$S$601)</f>
        <v>26</v>
      </c>
      <c r="J27" s="1">
        <f>SUMIF(工单明细!$D$2:$D$601,$A27,工单明细!$T$2:$T$601)</f>
        <v>17</v>
      </c>
      <c r="K27" s="11">
        <f t="shared" si="3"/>
        <v>0.65384615384615385</v>
      </c>
    </row>
    <row r="28" spans="1:11">
      <c r="A28" s="8" t="s">
        <v>23</v>
      </c>
      <c r="B28" s="8">
        <f>SUM(B22:B27)</f>
        <v>600</v>
      </c>
      <c r="C28" s="8">
        <f>SUM(C22:C27)</f>
        <v>469</v>
      </c>
      <c r="D28" s="12">
        <f t="shared" si="0"/>
        <v>0.78166666666666662</v>
      </c>
      <c r="E28" s="8">
        <f>SUM(E22:E27)</f>
        <v>506</v>
      </c>
      <c r="F28" s="12">
        <f t="shared" si="1"/>
        <v>0.84333333333333338</v>
      </c>
      <c r="G28" s="8">
        <f>SUM(G22:G27)</f>
        <v>40</v>
      </c>
      <c r="H28" s="12">
        <f t="shared" si="2"/>
        <v>6.6666666666666666E-2</v>
      </c>
      <c r="I28" s="8">
        <f>SUM(I22:I27)</f>
        <v>178</v>
      </c>
      <c r="J28" s="8">
        <f>SUM(J22:J27)</f>
        <v>96</v>
      </c>
      <c r="K28" s="12">
        <f t="shared" si="3"/>
        <v>0.5393258426966292</v>
      </c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2.5" customHeight="1">
      <c r="A31" s="2" t="s">
        <v>33</v>
      </c>
      <c r="B31" s="2" t="s">
        <v>2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34</v>
      </c>
      <c r="B32" s="1">
        <f>COUNTIF(工单明细!$V$2:$V$601,A32)</f>
        <v>422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 t="s">
        <v>35</v>
      </c>
      <c r="B33" s="1">
        <f>COUNTIF(工单明细!$V$2:$V$601,A33)</f>
        <v>52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36</v>
      </c>
      <c r="B34" s="1">
        <f>COUNTIF(工单明细!$V$2:$V$601,A34)</f>
        <v>79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37</v>
      </c>
      <c r="B35" s="1">
        <f>COUNTIF(工单明细!$V$2:$V$601,A35)</f>
        <v>47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 t="s">
        <v>23</v>
      </c>
      <c r="B36" s="1">
        <f>SUM(B32:B35)</f>
        <v>600</v>
      </c>
      <c r="C36" s="1"/>
      <c r="D36" s="1"/>
      <c r="E36" s="1"/>
      <c r="F36" s="1"/>
      <c r="G36" s="1"/>
      <c r="H36" s="1"/>
      <c r="I36" s="1"/>
      <c r="J36" s="1"/>
      <c r="K36" s="1"/>
    </row>
    <row r="38" spans="1:11">
      <c r="A38" t="s">
        <v>38</v>
      </c>
      <c r="B38">
        <f>SUM(工单明细!W2:W601)</f>
        <v>600</v>
      </c>
    </row>
    <row r="39" spans="1:11">
      <c r="A39" s="19" t="s">
        <v>39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>
      <c r="A40" s="19" t="s">
        <v>40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</sheetData>
  <mergeCells count="2">
    <mergeCell ref="A39:K39"/>
    <mergeCell ref="A40:K40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1FBB-0290-4B51-BA9F-F66C1512BBDA}">
  <dimension ref="A3:B7"/>
  <sheetViews>
    <sheetView tabSelected="1" workbookViewId="0"/>
  </sheetViews>
  <sheetFormatPr defaultRowHeight="14"/>
  <cols>
    <col min="1" max="1" width="8.75" bestFit="1" customWidth="1"/>
    <col min="2" max="2" width="14.58203125" bestFit="1" customWidth="1"/>
  </cols>
  <sheetData>
    <row r="3" spans="1:2">
      <c r="A3" s="21" t="s">
        <v>668</v>
      </c>
      <c r="B3" t="s">
        <v>670</v>
      </c>
    </row>
    <row r="4" spans="1:2">
      <c r="A4" s="22" t="s">
        <v>20</v>
      </c>
      <c r="B4" s="23">
        <v>252</v>
      </c>
    </row>
    <row r="5" spans="1:2">
      <c r="A5" s="22" t="s">
        <v>21</v>
      </c>
      <c r="B5" s="23">
        <v>193</v>
      </c>
    </row>
    <row r="6" spans="1:2">
      <c r="A6" s="22" t="s">
        <v>22</v>
      </c>
      <c r="B6" s="23">
        <v>155</v>
      </c>
    </row>
    <row r="7" spans="1:2">
      <c r="A7" s="22" t="s">
        <v>669</v>
      </c>
      <c r="B7" s="23">
        <v>600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01"/>
  <sheetViews>
    <sheetView showGridLines="0" workbookViewId="0">
      <pane ySplit="1" topLeftCell="A6" activePane="bottomLeft" state="frozen"/>
      <selection pane="bottomLeft" activeCell="A2" sqref="A2"/>
    </sheetView>
  </sheetViews>
  <sheetFormatPr defaultRowHeight="14"/>
  <cols>
    <col min="1" max="1" width="17.5" customWidth="1"/>
    <col min="2" max="4" width="14.4140625" customWidth="1"/>
    <col min="5" max="10" width="19.4140625" customWidth="1"/>
    <col min="11" max="11" width="14.4140625" customWidth="1"/>
    <col min="12" max="12" width="18.75" customWidth="1"/>
    <col min="13" max="14" width="19.4140625" customWidth="1"/>
    <col min="15" max="16" width="14.4140625" customWidth="1"/>
    <col min="17" max="21" width="14" customWidth="1"/>
    <col min="22" max="22" width="16" customWidth="1"/>
    <col min="23" max="23" width="14" customWidth="1"/>
    <col min="25" max="25" width="73.75" customWidth="1"/>
  </cols>
  <sheetData>
    <row r="1" spans="1:25" ht="27" customHeight="1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Y1" s="7" t="s">
        <v>64</v>
      </c>
    </row>
    <row r="2" spans="1:25" ht="17.25" customHeight="1">
      <c r="A2" s="1" t="s">
        <v>65</v>
      </c>
      <c r="B2" s="1" t="s">
        <v>20</v>
      </c>
      <c r="C2" s="1" t="s">
        <v>25</v>
      </c>
      <c r="D2" s="1" t="s">
        <v>28</v>
      </c>
      <c r="E2" s="6">
        <v>46235.333333333336</v>
      </c>
      <c r="F2" s="6">
        <v>46235.379861111112</v>
      </c>
      <c r="G2" s="6">
        <v>46238.625</v>
      </c>
      <c r="H2" s="6">
        <v>46238.640277777777</v>
      </c>
      <c r="I2" s="6">
        <v>46238.833333333336</v>
      </c>
      <c r="J2" s="6">
        <v>46238.692361111112</v>
      </c>
      <c r="K2" s="1" t="s">
        <v>66</v>
      </c>
      <c r="L2" s="1" t="s">
        <v>36</v>
      </c>
      <c r="M2" s="6">
        <v>46238.625</v>
      </c>
      <c r="N2" s="6">
        <v>46238.934027777781</v>
      </c>
      <c r="O2" s="1">
        <v>0</v>
      </c>
      <c r="P2" s="1">
        <v>2</v>
      </c>
      <c r="Q2" s="5">
        <f t="shared" ref="Q2:Q65" si="0">IF(AND(ISNUMBER(H2),H2&lt;=G2),1,0)</f>
        <v>0</v>
      </c>
      <c r="R2" s="5">
        <f t="shared" ref="R2:R65" si="1">IF(AND(ISNUMBER(J2),J2&lt;=I2),1,0)</f>
        <v>1</v>
      </c>
      <c r="S2" s="5">
        <f t="shared" ref="S2:S65" si="2">IF(V2="无",0,1)</f>
        <v>1</v>
      </c>
      <c r="T2" s="5">
        <f t="shared" ref="T2:T65" si="3">IF(AND(S2=1,ISNUMBER(N2)),1,0)</f>
        <v>1</v>
      </c>
      <c r="U2" s="5">
        <f t="shared" ref="U2:U65" si="4">IF(AND(S2=1,T2=0),1,0)</f>
        <v>0</v>
      </c>
      <c r="V2" s="5" t="str">
        <f t="shared" ref="V2:V65" si="5">IF(AND(ISNUMBER(F2),F2&lt;=G2),IF(AND(ISNUMBER(H2),H2&lt;=G2),IF(AND(ISNUMBER(J2),J2&lt;=I2),"无","完工超时"),"上门超时"),"派单超时")</f>
        <v>上门超时</v>
      </c>
      <c r="W2" s="5">
        <f t="shared" ref="W2:W65" si="6">IF(L2=V2,1,0)</f>
        <v>1</v>
      </c>
      <c r="Y2" s="7" t="s">
        <v>67</v>
      </c>
    </row>
    <row r="3" spans="1:25" ht="17.25" customHeight="1">
      <c r="A3" s="1" t="s">
        <v>68</v>
      </c>
      <c r="B3" s="1" t="s">
        <v>20</v>
      </c>
      <c r="C3" s="1" t="s">
        <v>25</v>
      </c>
      <c r="D3" s="1" t="s">
        <v>28</v>
      </c>
      <c r="E3" s="6">
        <v>46235.357638888891</v>
      </c>
      <c r="F3" s="6">
        <v>46235.463888888888</v>
      </c>
      <c r="G3" s="6">
        <v>46237.708333333336</v>
      </c>
      <c r="H3" s="6">
        <v>46237.684027777781</v>
      </c>
      <c r="I3" s="6">
        <v>46237.916666666664</v>
      </c>
      <c r="J3" s="6">
        <v>46237.731249999997</v>
      </c>
      <c r="K3" s="1" t="s">
        <v>66</v>
      </c>
      <c r="L3" s="1" t="s">
        <v>34</v>
      </c>
      <c r="M3" s="6"/>
      <c r="N3" s="6"/>
      <c r="O3" s="1">
        <v>0</v>
      </c>
      <c r="P3" s="1">
        <v>5</v>
      </c>
      <c r="Q3" s="5">
        <f t="shared" si="0"/>
        <v>1</v>
      </c>
      <c r="R3" s="5">
        <f t="shared" si="1"/>
        <v>1</v>
      </c>
      <c r="S3" s="5">
        <f t="shared" si="2"/>
        <v>0</v>
      </c>
      <c r="T3" s="5">
        <f t="shared" si="3"/>
        <v>0</v>
      </c>
      <c r="U3" s="5">
        <f t="shared" si="4"/>
        <v>0</v>
      </c>
      <c r="V3" s="5" t="str">
        <f t="shared" si="5"/>
        <v>无</v>
      </c>
      <c r="W3" s="5">
        <f t="shared" si="6"/>
        <v>1</v>
      </c>
    </row>
    <row r="4" spans="1:25" ht="17.25" customHeight="1">
      <c r="A4" s="1" t="s">
        <v>69</v>
      </c>
      <c r="B4" s="1" t="s">
        <v>20</v>
      </c>
      <c r="C4" s="1" t="s">
        <v>24</v>
      </c>
      <c r="D4" s="1" t="s">
        <v>28</v>
      </c>
      <c r="E4" s="6">
        <v>46235.368055555555</v>
      </c>
      <c r="F4" s="6">
        <v>46235.501388888886</v>
      </c>
      <c r="G4" s="6">
        <v>46236.625</v>
      </c>
      <c r="H4" s="6">
        <v>46236.679166666669</v>
      </c>
      <c r="I4" s="6">
        <v>46236.791666666664</v>
      </c>
      <c r="J4" s="6">
        <v>46236.747916666667</v>
      </c>
      <c r="K4" s="1" t="s">
        <v>66</v>
      </c>
      <c r="L4" s="1" t="s">
        <v>36</v>
      </c>
      <c r="M4" s="6">
        <v>46236.625</v>
      </c>
      <c r="N4" s="6"/>
      <c r="O4" s="1">
        <v>1</v>
      </c>
      <c r="P4" s="1">
        <v>2</v>
      </c>
      <c r="Q4" s="5">
        <f t="shared" si="0"/>
        <v>0</v>
      </c>
      <c r="R4" s="5">
        <f t="shared" si="1"/>
        <v>1</v>
      </c>
      <c r="S4" s="5">
        <f t="shared" si="2"/>
        <v>1</v>
      </c>
      <c r="T4" s="5">
        <f t="shared" si="3"/>
        <v>0</v>
      </c>
      <c r="U4" s="5">
        <f t="shared" si="4"/>
        <v>1</v>
      </c>
      <c r="V4" s="5" t="str">
        <f t="shared" si="5"/>
        <v>上门超时</v>
      </c>
      <c r="W4" s="5">
        <f t="shared" si="6"/>
        <v>1</v>
      </c>
    </row>
    <row r="5" spans="1:25" ht="17.25" customHeight="1">
      <c r="A5" s="1" t="s">
        <v>70</v>
      </c>
      <c r="B5" s="1" t="s">
        <v>21</v>
      </c>
      <c r="C5" s="1" t="s">
        <v>25</v>
      </c>
      <c r="D5" s="1" t="s">
        <v>29</v>
      </c>
      <c r="E5" s="6">
        <v>46235.392361111109</v>
      </c>
      <c r="F5" s="6">
        <v>46235.494444444441</v>
      </c>
      <c r="G5" s="6">
        <v>46237.416666666664</v>
      </c>
      <c r="H5" s="6">
        <v>46237.375694444447</v>
      </c>
      <c r="I5" s="6">
        <v>46237.625</v>
      </c>
      <c r="J5" s="6">
        <v>46237.447222222225</v>
      </c>
      <c r="K5" s="1" t="s">
        <v>66</v>
      </c>
      <c r="L5" s="1" t="s">
        <v>34</v>
      </c>
      <c r="M5" s="6"/>
      <c r="N5" s="6"/>
      <c r="O5" s="1">
        <v>1</v>
      </c>
      <c r="P5" s="1">
        <v>1</v>
      </c>
      <c r="Q5" s="5">
        <f t="shared" si="0"/>
        <v>1</v>
      </c>
      <c r="R5" s="5">
        <f t="shared" si="1"/>
        <v>1</v>
      </c>
      <c r="S5" s="5">
        <f t="shared" si="2"/>
        <v>0</v>
      </c>
      <c r="T5" s="5">
        <f t="shared" si="3"/>
        <v>0</v>
      </c>
      <c r="U5" s="5">
        <f t="shared" si="4"/>
        <v>0</v>
      </c>
      <c r="V5" s="5" t="str">
        <f t="shared" si="5"/>
        <v>无</v>
      </c>
      <c r="W5" s="5">
        <f t="shared" si="6"/>
        <v>1</v>
      </c>
    </row>
    <row r="6" spans="1:25" ht="17.25" customHeight="1">
      <c r="A6" s="1" t="s">
        <v>71</v>
      </c>
      <c r="B6" s="1" t="s">
        <v>20</v>
      </c>
      <c r="C6" s="1" t="s">
        <v>24</v>
      </c>
      <c r="D6" s="1" t="s">
        <v>27</v>
      </c>
      <c r="E6" s="6">
        <v>46235.395833333336</v>
      </c>
      <c r="F6" s="6">
        <v>46235.520138888889</v>
      </c>
      <c r="G6" s="6">
        <v>46236.625</v>
      </c>
      <c r="H6" s="6">
        <v>46236.588888888888</v>
      </c>
      <c r="I6" s="6">
        <v>46236.791666666664</v>
      </c>
      <c r="J6" s="6">
        <v>46236.645138888889</v>
      </c>
      <c r="K6" s="1" t="s">
        <v>66</v>
      </c>
      <c r="L6" s="1" t="s">
        <v>34</v>
      </c>
      <c r="M6" s="6"/>
      <c r="N6" s="6"/>
      <c r="O6" s="1">
        <v>0</v>
      </c>
      <c r="P6" s="1">
        <v>5</v>
      </c>
      <c r="Q6" s="5">
        <f t="shared" si="0"/>
        <v>1</v>
      </c>
      <c r="R6" s="5">
        <f t="shared" si="1"/>
        <v>1</v>
      </c>
      <c r="S6" s="5">
        <f t="shared" si="2"/>
        <v>0</v>
      </c>
      <c r="T6" s="5">
        <f t="shared" si="3"/>
        <v>0</v>
      </c>
      <c r="U6" s="5">
        <f t="shared" si="4"/>
        <v>0</v>
      </c>
      <c r="V6" s="5" t="str">
        <f t="shared" si="5"/>
        <v>无</v>
      </c>
      <c r="W6" s="5">
        <f t="shared" si="6"/>
        <v>1</v>
      </c>
    </row>
    <row r="7" spans="1:25" ht="17.25" customHeight="1">
      <c r="A7" s="1" t="s">
        <v>72</v>
      </c>
      <c r="B7" s="1" t="s">
        <v>22</v>
      </c>
      <c r="C7" s="1" t="s">
        <v>24</v>
      </c>
      <c r="D7" s="1" t="s">
        <v>31</v>
      </c>
      <c r="E7" s="6">
        <v>46235.427083333336</v>
      </c>
      <c r="F7" s="6">
        <v>46235.506249999999</v>
      </c>
      <c r="G7" s="6">
        <v>46236.708333333336</v>
      </c>
      <c r="H7" s="6">
        <v>46236.681250000001</v>
      </c>
      <c r="I7" s="6">
        <v>46236.875</v>
      </c>
      <c r="J7" s="6"/>
      <c r="K7" s="1" t="s">
        <v>73</v>
      </c>
      <c r="L7" s="1" t="s">
        <v>37</v>
      </c>
      <c r="M7" s="6">
        <v>46236.875</v>
      </c>
      <c r="N7" s="6"/>
      <c r="O7" s="1">
        <v>0</v>
      </c>
      <c r="P7" s="1"/>
      <c r="Q7" s="5">
        <f t="shared" si="0"/>
        <v>1</v>
      </c>
      <c r="R7" s="5">
        <f t="shared" si="1"/>
        <v>0</v>
      </c>
      <c r="S7" s="5">
        <f t="shared" si="2"/>
        <v>1</v>
      </c>
      <c r="T7" s="5">
        <f t="shared" si="3"/>
        <v>0</v>
      </c>
      <c r="U7" s="5">
        <f t="shared" si="4"/>
        <v>1</v>
      </c>
      <c r="V7" s="5" t="str">
        <f t="shared" si="5"/>
        <v>完工超时</v>
      </c>
      <c r="W7" s="5">
        <f t="shared" si="6"/>
        <v>1</v>
      </c>
    </row>
    <row r="8" spans="1:25" ht="17.25" customHeight="1">
      <c r="A8" s="1" t="s">
        <v>74</v>
      </c>
      <c r="B8" s="1" t="s">
        <v>20</v>
      </c>
      <c r="C8" s="1" t="s">
        <v>24</v>
      </c>
      <c r="D8" s="1" t="s">
        <v>27</v>
      </c>
      <c r="E8" s="6">
        <v>46235.46875</v>
      </c>
      <c r="F8" s="6">
        <v>46235.517361111109</v>
      </c>
      <c r="G8" s="6">
        <v>46236.708333333336</v>
      </c>
      <c r="H8" s="6">
        <v>46236.7</v>
      </c>
      <c r="I8" s="6">
        <v>46236.875</v>
      </c>
      <c r="J8" s="6">
        <v>46236.786111111112</v>
      </c>
      <c r="K8" s="1" t="s">
        <v>66</v>
      </c>
      <c r="L8" s="1" t="s">
        <v>34</v>
      </c>
      <c r="M8" s="6"/>
      <c r="N8" s="6"/>
      <c r="O8" s="1">
        <v>0</v>
      </c>
      <c r="P8" s="1">
        <v>5</v>
      </c>
      <c r="Q8" s="5">
        <f t="shared" si="0"/>
        <v>1</v>
      </c>
      <c r="R8" s="5">
        <f t="shared" si="1"/>
        <v>1</v>
      </c>
      <c r="S8" s="5">
        <f t="shared" si="2"/>
        <v>0</v>
      </c>
      <c r="T8" s="5">
        <f t="shared" si="3"/>
        <v>0</v>
      </c>
      <c r="U8" s="5">
        <f t="shared" si="4"/>
        <v>0</v>
      </c>
      <c r="V8" s="5" t="str">
        <f t="shared" si="5"/>
        <v>无</v>
      </c>
      <c r="W8" s="5">
        <f t="shared" si="6"/>
        <v>1</v>
      </c>
    </row>
    <row r="9" spans="1:25" ht="17.25" customHeight="1">
      <c r="A9" s="1" t="s">
        <v>75</v>
      </c>
      <c r="B9" s="1" t="s">
        <v>22</v>
      </c>
      <c r="C9" s="1" t="s">
        <v>24</v>
      </c>
      <c r="D9" s="1" t="s">
        <v>32</v>
      </c>
      <c r="E9" s="6">
        <v>46235.472222222219</v>
      </c>
      <c r="F9" s="6">
        <v>46235.543749999997</v>
      </c>
      <c r="G9" s="6">
        <v>46236.708333333336</v>
      </c>
      <c r="H9" s="6">
        <v>46236.725694444445</v>
      </c>
      <c r="I9" s="6">
        <v>46236.875</v>
      </c>
      <c r="J9" s="6">
        <v>46236.775000000001</v>
      </c>
      <c r="K9" s="1" t="s">
        <v>66</v>
      </c>
      <c r="L9" s="1" t="s">
        <v>36</v>
      </c>
      <c r="M9" s="6">
        <v>46236.708333333336</v>
      </c>
      <c r="N9" s="6">
        <v>46236.853472222225</v>
      </c>
      <c r="O9" s="1">
        <v>0</v>
      </c>
      <c r="P9" s="1">
        <v>4</v>
      </c>
      <c r="Q9" s="5">
        <f t="shared" si="0"/>
        <v>0</v>
      </c>
      <c r="R9" s="5">
        <f t="shared" si="1"/>
        <v>1</v>
      </c>
      <c r="S9" s="5">
        <f t="shared" si="2"/>
        <v>1</v>
      </c>
      <c r="T9" s="5">
        <f t="shared" si="3"/>
        <v>1</v>
      </c>
      <c r="U9" s="5">
        <f t="shared" si="4"/>
        <v>0</v>
      </c>
      <c r="V9" s="5" t="str">
        <f t="shared" si="5"/>
        <v>上门超时</v>
      </c>
      <c r="W9" s="5">
        <f t="shared" si="6"/>
        <v>1</v>
      </c>
    </row>
    <row r="10" spans="1:25" ht="17.25" customHeight="1">
      <c r="A10" s="1" t="s">
        <v>76</v>
      </c>
      <c r="B10" s="1" t="s">
        <v>21</v>
      </c>
      <c r="C10" s="1" t="s">
        <v>25</v>
      </c>
      <c r="D10" s="1" t="s">
        <v>29</v>
      </c>
      <c r="E10" s="6">
        <v>46235.479166666664</v>
      </c>
      <c r="F10" s="6">
        <v>46235.59097222222</v>
      </c>
      <c r="G10" s="6">
        <v>46236.625</v>
      </c>
      <c r="H10" s="6">
        <v>46236.594444444447</v>
      </c>
      <c r="I10" s="6">
        <v>46236.833333333336</v>
      </c>
      <c r="J10" s="6">
        <v>46236.65625</v>
      </c>
      <c r="K10" s="1" t="s">
        <v>66</v>
      </c>
      <c r="L10" s="1" t="s">
        <v>34</v>
      </c>
      <c r="M10" s="6"/>
      <c r="N10" s="6"/>
      <c r="O10" s="1">
        <v>0</v>
      </c>
      <c r="P10" s="1">
        <v>5</v>
      </c>
      <c r="Q10" s="5">
        <f t="shared" si="0"/>
        <v>1</v>
      </c>
      <c r="R10" s="5">
        <f t="shared" si="1"/>
        <v>1</v>
      </c>
      <c r="S10" s="5">
        <f t="shared" si="2"/>
        <v>0</v>
      </c>
      <c r="T10" s="5">
        <f t="shared" si="3"/>
        <v>0</v>
      </c>
      <c r="U10" s="5">
        <f t="shared" si="4"/>
        <v>0</v>
      </c>
      <c r="V10" s="5" t="str">
        <f t="shared" si="5"/>
        <v>无</v>
      </c>
      <c r="W10" s="5">
        <f t="shared" si="6"/>
        <v>1</v>
      </c>
    </row>
    <row r="11" spans="1:25" ht="17.25" customHeight="1">
      <c r="A11" s="1" t="s">
        <v>77</v>
      </c>
      <c r="B11" s="1" t="s">
        <v>22</v>
      </c>
      <c r="C11" s="1" t="s">
        <v>24</v>
      </c>
      <c r="D11" s="1" t="s">
        <v>32</v>
      </c>
      <c r="E11" s="6">
        <v>46235.493055555555</v>
      </c>
      <c r="F11" s="6">
        <v>46235.566666666666</v>
      </c>
      <c r="G11" s="6">
        <v>46236.416666666664</v>
      </c>
      <c r="H11" s="6">
        <v>46236.435416666667</v>
      </c>
      <c r="I11" s="6">
        <v>46236.583333333336</v>
      </c>
      <c r="J11" s="6">
        <v>46236.48541666667</v>
      </c>
      <c r="K11" s="1" t="s">
        <v>66</v>
      </c>
      <c r="L11" s="1" t="s">
        <v>36</v>
      </c>
      <c r="M11" s="6">
        <v>46236.416666666664</v>
      </c>
      <c r="N11" s="6">
        <v>46236.595138888886</v>
      </c>
      <c r="O11" s="1">
        <v>0</v>
      </c>
      <c r="P11" s="1">
        <v>2</v>
      </c>
      <c r="Q11" s="5">
        <f t="shared" si="0"/>
        <v>0</v>
      </c>
      <c r="R11" s="5">
        <f t="shared" si="1"/>
        <v>1</v>
      </c>
      <c r="S11" s="5">
        <f t="shared" si="2"/>
        <v>1</v>
      </c>
      <c r="T11" s="5">
        <f t="shared" si="3"/>
        <v>1</v>
      </c>
      <c r="U11" s="5">
        <f t="shared" si="4"/>
        <v>0</v>
      </c>
      <c r="V11" s="5" t="str">
        <f t="shared" si="5"/>
        <v>上门超时</v>
      </c>
      <c r="W11" s="5">
        <f t="shared" si="6"/>
        <v>1</v>
      </c>
    </row>
    <row r="12" spans="1:25" ht="17.25" customHeight="1">
      <c r="A12" s="1" t="s">
        <v>78</v>
      </c>
      <c r="B12" s="1" t="s">
        <v>21</v>
      </c>
      <c r="C12" s="1" t="s">
        <v>25</v>
      </c>
      <c r="D12" s="1" t="s">
        <v>29</v>
      </c>
      <c r="E12" s="6">
        <v>46235.5</v>
      </c>
      <c r="F12" s="6">
        <v>46235.566666666666</v>
      </c>
      <c r="G12" s="6">
        <v>46236.5</v>
      </c>
      <c r="H12" s="6">
        <v>46236.462500000001</v>
      </c>
      <c r="I12" s="6">
        <v>46236.708333333336</v>
      </c>
      <c r="J12" s="6">
        <v>46236.540972222225</v>
      </c>
      <c r="K12" s="1" t="s">
        <v>66</v>
      </c>
      <c r="L12" s="1" t="s">
        <v>34</v>
      </c>
      <c r="M12" s="6"/>
      <c r="N12" s="6"/>
      <c r="O12" s="1">
        <v>0</v>
      </c>
      <c r="P12" s="1">
        <v>5</v>
      </c>
      <c r="Q12" s="5">
        <f t="shared" si="0"/>
        <v>1</v>
      </c>
      <c r="R12" s="5">
        <f t="shared" si="1"/>
        <v>1</v>
      </c>
      <c r="S12" s="5">
        <f t="shared" si="2"/>
        <v>0</v>
      </c>
      <c r="T12" s="5">
        <f t="shared" si="3"/>
        <v>0</v>
      </c>
      <c r="U12" s="5">
        <f t="shared" si="4"/>
        <v>0</v>
      </c>
      <c r="V12" s="5" t="str">
        <f t="shared" si="5"/>
        <v>无</v>
      </c>
      <c r="W12" s="5">
        <f t="shared" si="6"/>
        <v>1</v>
      </c>
    </row>
    <row r="13" spans="1:25" ht="17.25" customHeight="1">
      <c r="A13" s="1" t="s">
        <v>79</v>
      </c>
      <c r="B13" s="1" t="s">
        <v>21</v>
      </c>
      <c r="C13" s="1" t="s">
        <v>24</v>
      </c>
      <c r="D13" s="1" t="s">
        <v>29</v>
      </c>
      <c r="E13" s="6">
        <v>46235.517361111109</v>
      </c>
      <c r="F13" s="6">
        <v>46235.61041666667</v>
      </c>
      <c r="G13" s="6">
        <v>46236.625</v>
      </c>
      <c r="H13" s="6">
        <v>46236.574305555558</v>
      </c>
      <c r="I13" s="6">
        <v>46236.791666666664</v>
      </c>
      <c r="J13" s="6">
        <v>46236.611805555556</v>
      </c>
      <c r="K13" s="1" t="s">
        <v>66</v>
      </c>
      <c r="L13" s="1" t="s">
        <v>34</v>
      </c>
      <c r="M13" s="6"/>
      <c r="N13" s="6"/>
      <c r="O13" s="1">
        <v>0</v>
      </c>
      <c r="P13" s="1">
        <v>5</v>
      </c>
      <c r="Q13" s="5">
        <f t="shared" si="0"/>
        <v>1</v>
      </c>
      <c r="R13" s="5">
        <f t="shared" si="1"/>
        <v>1</v>
      </c>
      <c r="S13" s="5">
        <f t="shared" si="2"/>
        <v>0</v>
      </c>
      <c r="T13" s="5">
        <f t="shared" si="3"/>
        <v>0</v>
      </c>
      <c r="U13" s="5">
        <f t="shared" si="4"/>
        <v>0</v>
      </c>
      <c r="V13" s="5" t="str">
        <f t="shared" si="5"/>
        <v>无</v>
      </c>
      <c r="W13" s="5">
        <f t="shared" si="6"/>
        <v>1</v>
      </c>
    </row>
    <row r="14" spans="1:25" ht="17.25" customHeight="1">
      <c r="A14" s="1" t="s">
        <v>80</v>
      </c>
      <c r="B14" s="1" t="s">
        <v>21</v>
      </c>
      <c r="C14" s="1" t="s">
        <v>25</v>
      </c>
      <c r="D14" s="1" t="s">
        <v>30</v>
      </c>
      <c r="E14" s="6">
        <v>46235.534722222219</v>
      </c>
      <c r="F14" s="6"/>
      <c r="G14" s="6">
        <v>46237.5</v>
      </c>
      <c r="H14" s="6"/>
      <c r="I14" s="6">
        <v>46237.708333333336</v>
      </c>
      <c r="J14" s="6"/>
      <c r="K14" s="1" t="s">
        <v>73</v>
      </c>
      <c r="L14" s="1" t="s">
        <v>35</v>
      </c>
      <c r="M14" s="6">
        <v>46237.5</v>
      </c>
      <c r="N14" s="6"/>
      <c r="O14" s="1">
        <v>1</v>
      </c>
      <c r="P14" s="1"/>
      <c r="Q14" s="5">
        <f t="shared" si="0"/>
        <v>0</v>
      </c>
      <c r="R14" s="5">
        <f t="shared" si="1"/>
        <v>0</v>
      </c>
      <c r="S14" s="5">
        <f t="shared" si="2"/>
        <v>1</v>
      </c>
      <c r="T14" s="5">
        <f t="shared" si="3"/>
        <v>0</v>
      </c>
      <c r="U14" s="5">
        <f t="shared" si="4"/>
        <v>1</v>
      </c>
      <c r="V14" s="5" t="str">
        <f t="shared" si="5"/>
        <v>派单超时</v>
      </c>
      <c r="W14" s="5">
        <f t="shared" si="6"/>
        <v>1</v>
      </c>
    </row>
    <row r="15" spans="1:25" ht="17.25" customHeight="1">
      <c r="A15" s="1" t="s">
        <v>81</v>
      </c>
      <c r="B15" s="1" t="s">
        <v>22</v>
      </c>
      <c r="C15" s="1" t="s">
        <v>25</v>
      </c>
      <c r="D15" s="1" t="s">
        <v>32</v>
      </c>
      <c r="E15" s="6">
        <v>46235.541666666664</v>
      </c>
      <c r="F15" s="6">
        <v>46235.69027777778</v>
      </c>
      <c r="G15" s="6">
        <v>46238.416666666664</v>
      </c>
      <c r="H15" s="6">
        <v>46238.40625</v>
      </c>
      <c r="I15" s="6">
        <v>46238.625</v>
      </c>
      <c r="J15" s="6">
        <v>46238.5</v>
      </c>
      <c r="K15" s="1" t="s">
        <v>66</v>
      </c>
      <c r="L15" s="1" t="s">
        <v>34</v>
      </c>
      <c r="M15" s="6"/>
      <c r="N15" s="6"/>
      <c r="O15" s="1">
        <v>0</v>
      </c>
      <c r="P15" s="1">
        <v>5</v>
      </c>
      <c r="Q15" s="5">
        <f t="shared" si="0"/>
        <v>1</v>
      </c>
      <c r="R15" s="5">
        <f t="shared" si="1"/>
        <v>1</v>
      </c>
      <c r="S15" s="5">
        <f t="shared" si="2"/>
        <v>0</v>
      </c>
      <c r="T15" s="5">
        <f t="shared" si="3"/>
        <v>0</v>
      </c>
      <c r="U15" s="5">
        <f t="shared" si="4"/>
        <v>0</v>
      </c>
      <c r="V15" s="5" t="str">
        <f t="shared" si="5"/>
        <v>无</v>
      </c>
      <c r="W15" s="5">
        <f t="shared" si="6"/>
        <v>1</v>
      </c>
    </row>
    <row r="16" spans="1:25" ht="17.25" customHeight="1">
      <c r="A16" s="1" t="s">
        <v>82</v>
      </c>
      <c r="B16" s="1" t="s">
        <v>21</v>
      </c>
      <c r="C16" s="1" t="s">
        <v>24</v>
      </c>
      <c r="D16" s="1" t="s">
        <v>29</v>
      </c>
      <c r="E16" s="6">
        <v>46235.555555555555</v>
      </c>
      <c r="F16" s="6">
        <v>46235.579861111109</v>
      </c>
      <c r="G16" s="6">
        <v>46236.625</v>
      </c>
      <c r="H16" s="6">
        <v>46236.673611111109</v>
      </c>
      <c r="I16" s="6">
        <v>46236.791666666664</v>
      </c>
      <c r="J16" s="6">
        <v>46236.776388888888</v>
      </c>
      <c r="K16" s="1" t="s">
        <v>66</v>
      </c>
      <c r="L16" s="1" t="s">
        <v>36</v>
      </c>
      <c r="M16" s="6">
        <v>46236.625</v>
      </c>
      <c r="N16" s="6"/>
      <c r="O16" s="1">
        <v>0</v>
      </c>
      <c r="P16" s="1">
        <v>3</v>
      </c>
      <c r="Q16" s="5">
        <f t="shared" si="0"/>
        <v>0</v>
      </c>
      <c r="R16" s="5">
        <f t="shared" si="1"/>
        <v>1</v>
      </c>
      <c r="S16" s="5">
        <f t="shared" si="2"/>
        <v>1</v>
      </c>
      <c r="T16" s="5">
        <f t="shared" si="3"/>
        <v>0</v>
      </c>
      <c r="U16" s="5">
        <f t="shared" si="4"/>
        <v>1</v>
      </c>
      <c r="V16" s="5" t="str">
        <f t="shared" si="5"/>
        <v>上门超时</v>
      </c>
      <c r="W16" s="5">
        <f t="shared" si="6"/>
        <v>1</v>
      </c>
    </row>
    <row r="17" spans="1:23" ht="17.25" customHeight="1">
      <c r="A17" s="1" t="s">
        <v>83</v>
      </c>
      <c r="B17" s="1" t="s">
        <v>21</v>
      </c>
      <c r="C17" s="1" t="s">
        <v>24</v>
      </c>
      <c r="D17" s="1" t="s">
        <v>29</v>
      </c>
      <c r="E17" s="6">
        <v>46235.559027777781</v>
      </c>
      <c r="F17" s="6">
        <v>46235.646527777775</v>
      </c>
      <c r="G17" s="6">
        <v>46237.625</v>
      </c>
      <c r="H17" s="6">
        <v>46237.592361111114</v>
      </c>
      <c r="I17" s="6">
        <v>46237.791666666664</v>
      </c>
      <c r="J17" s="6">
        <v>46237.661805555559</v>
      </c>
      <c r="K17" s="1" t="s">
        <v>66</v>
      </c>
      <c r="L17" s="1" t="s">
        <v>34</v>
      </c>
      <c r="M17" s="6"/>
      <c r="N17" s="6"/>
      <c r="O17" s="1">
        <v>0</v>
      </c>
      <c r="P17" s="1">
        <v>4</v>
      </c>
      <c r="Q17" s="5">
        <f t="shared" si="0"/>
        <v>1</v>
      </c>
      <c r="R17" s="5">
        <f t="shared" si="1"/>
        <v>1</v>
      </c>
      <c r="S17" s="5">
        <f t="shared" si="2"/>
        <v>0</v>
      </c>
      <c r="T17" s="5">
        <f t="shared" si="3"/>
        <v>0</v>
      </c>
      <c r="U17" s="5">
        <f t="shared" si="4"/>
        <v>0</v>
      </c>
      <c r="V17" s="5" t="str">
        <f t="shared" si="5"/>
        <v>无</v>
      </c>
      <c r="W17" s="5">
        <f t="shared" si="6"/>
        <v>1</v>
      </c>
    </row>
    <row r="18" spans="1:23" ht="17.25" customHeight="1">
      <c r="A18" s="1" t="s">
        <v>84</v>
      </c>
      <c r="B18" s="1" t="s">
        <v>21</v>
      </c>
      <c r="C18" s="1" t="s">
        <v>25</v>
      </c>
      <c r="D18" s="1" t="s">
        <v>30</v>
      </c>
      <c r="E18" s="6">
        <v>46235.5625</v>
      </c>
      <c r="F18" s="6"/>
      <c r="G18" s="6">
        <v>46236.708333333336</v>
      </c>
      <c r="H18" s="6"/>
      <c r="I18" s="6">
        <v>46236.916666666664</v>
      </c>
      <c r="J18" s="6"/>
      <c r="K18" s="1" t="s">
        <v>73</v>
      </c>
      <c r="L18" s="1" t="s">
        <v>35</v>
      </c>
      <c r="M18" s="6">
        <v>46236.708333333336</v>
      </c>
      <c r="N18" s="6"/>
      <c r="O18" s="1">
        <v>0</v>
      </c>
      <c r="P18" s="1"/>
      <c r="Q18" s="5">
        <f t="shared" si="0"/>
        <v>0</v>
      </c>
      <c r="R18" s="5">
        <f t="shared" si="1"/>
        <v>0</v>
      </c>
      <c r="S18" s="5">
        <f t="shared" si="2"/>
        <v>1</v>
      </c>
      <c r="T18" s="5">
        <f t="shared" si="3"/>
        <v>0</v>
      </c>
      <c r="U18" s="5">
        <f t="shared" si="4"/>
        <v>1</v>
      </c>
      <c r="V18" s="5" t="str">
        <f t="shared" si="5"/>
        <v>派单超时</v>
      </c>
      <c r="W18" s="5">
        <f t="shared" si="6"/>
        <v>1</v>
      </c>
    </row>
    <row r="19" spans="1:23" ht="17.25" customHeight="1">
      <c r="A19" s="1" t="s">
        <v>85</v>
      </c>
      <c r="B19" s="1" t="s">
        <v>22</v>
      </c>
      <c r="C19" s="1" t="s">
        <v>24</v>
      </c>
      <c r="D19" s="1" t="s">
        <v>32</v>
      </c>
      <c r="E19" s="6">
        <v>46235.59375</v>
      </c>
      <c r="F19" s="6">
        <v>46235.73333333333</v>
      </c>
      <c r="G19" s="6">
        <v>46236.416666666664</v>
      </c>
      <c r="H19" s="6">
        <v>46236.481944444444</v>
      </c>
      <c r="I19" s="6">
        <v>46236.583333333336</v>
      </c>
      <c r="J19" s="6">
        <v>46236.574305555558</v>
      </c>
      <c r="K19" s="1" t="s">
        <v>66</v>
      </c>
      <c r="L19" s="1" t="s">
        <v>36</v>
      </c>
      <c r="M19" s="6">
        <v>46236.416666666664</v>
      </c>
      <c r="N19" s="6">
        <v>46236.788888888892</v>
      </c>
      <c r="O19" s="1">
        <v>0</v>
      </c>
      <c r="P19" s="1">
        <v>2</v>
      </c>
      <c r="Q19" s="5">
        <f t="shared" si="0"/>
        <v>0</v>
      </c>
      <c r="R19" s="5">
        <f t="shared" si="1"/>
        <v>1</v>
      </c>
      <c r="S19" s="5">
        <f t="shared" si="2"/>
        <v>1</v>
      </c>
      <c r="T19" s="5">
        <f t="shared" si="3"/>
        <v>1</v>
      </c>
      <c r="U19" s="5">
        <f t="shared" si="4"/>
        <v>0</v>
      </c>
      <c r="V19" s="5" t="str">
        <f t="shared" si="5"/>
        <v>上门超时</v>
      </c>
      <c r="W19" s="5">
        <f t="shared" si="6"/>
        <v>1</v>
      </c>
    </row>
    <row r="20" spans="1:23" ht="17.25" customHeight="1">
      <c r="A20" s="1" t="s">
        <v>86</v>
      </c>
      <c r="B20" s="1" t="s">
        <v>20</v>
      </c>
      <c r="C20" s="1" t="s">
        <v>25</v>
      </c>
      <c r="D20" s="1" t="s">
        <v>28</v>
      </c>
      <c r="E20" s="6">
        <v>46235.680555555555</v>
      </c>
      <c r="F20" s="6">
        <v>46235.772222222222</v>
      </c>
      <c r="G20" s="6">
        <v>46237.416666666664</v>
      </c>
      <c r="H20" s="6">
        <v>46237.384027777778</v>
      </c>
      <c r="I20" s="6">
        <v>46237.625</v>
      </c>
      <c r="J20" s="6">
        <v>46237.486111111109</v>
      </c>
      <c r="K20" s="1" t="s">
        <v>66</v>
      </c>
      <c r="L20" s="1" t="s">
        <v>34</v>
      </c>
      <c r="M20" s="6"/>
      <c r="N20" s="6"/>
      <c r="O20" s="1">
        <v>0</v>
      </c>
      <c r="P20" s="1">
        <v>5</v>
      </c>
      <c r="Q20" s="5">
        <f t="shared" si="0"/>
        <v>1</v>
      </c>
      <c r="R20" s="5">
        <f t="shared" si="1"/>
        <v>1</v>
      </c>
      <c r="S20" s="5">
        <f t="shared" si="2"/>
        <v>0</v>
      </c>
      <c r="T20" s="5">
        <f t="shared" si="3"/>
        <v>0</v>
      </c>
      <c r="U20" s="5">
        <f t="shared" si="4"/>
        <v>0</v>
      </c>
      <c r="V20" s="5" t="str">
        <f t="shared" si="5"/>
        <v>无</v>
      </c>
      <c r="W20" s="5">
        <f t="shared" si="6"/>
        <v>1</v>
      </c>
    </row>
    <row r="21" spans="1:23" ht="17.25" customHeight="1">
      <c r="A21" s="1" t="s">
        <v>87</v>
      </c>
      <c r="B21" s="1" t="s">
        <v>22</v>
      </c>
      <c r="C21" s="1" t="s">
        <v>24</v>
      </c>
      <c r="D21" s="1" t="s">
        <v>32</v>
      </c>
      <c r="E21" s="6">
        <v>46235.680555555555</v>
      </c>
      <c r="F21" s="6">
        <v>46235.738888888889</v>
      </c>
      <c r="G21" s="6">
        <v>46237.416666666664</v>
      </c>
      <c r="H21" s="6">
        <v>46237.382638888892</v>
      </c>
      <c r="I21" s="6">
        <v>46237.583333333336</v>
      </c>
      <c r="J21" s="6">
        <v>46237.482638888891</v>
      </c>
      <c r="K21" s="1" t="s">
        <v>66</v>
      </c>
      <c r="L21" s="1" t="s">
        <v>34</v>
      </c>
      <c r="M21" s="6"/>
      <c r="N21" s="6"/>
      <c r="O21" s="1">
        <v>1</v>
      </c>
      <c r="P21" s="1">
        <v>2</v>
      </c>
      <c r="Q21" s="5">
        <f t="shared" si="0"/>
        <v>1</v>
      </c>
      <c r="R21" s="5">
        <f t="shared" si="1"/>
        <v>1</v>
      </c>
      <c r="S21" s="5">
        <f t="shared" si="2"/>
        <v>0</v>
      </c>
      <c r="T21" s="5">
        <f t="shared" si="3"/>
        <v>0</v>
      </c>
      <c r="U21" s="5">
        <f t="shared" si="4"/>
        <v>0</v>
      </c>
      <c r="V21" s="5" t="str">
        <f t="shared" si="5"/>
        <v>无</v>
      </c>
      <c r="W21" s="5">
        <f t="shared" si="6"/>
        <v>1</v>
      </c>
    </row>
    <row r="22" spans="1:23" ht="17.25" customHeight="1">
      <c r="A22" s="1" t="s">
        <v>88</v>
      </c>
      <c r="B22" s="1" t="s">
        <v>22</v>
      </c>
      <c r="C22" s="1" t="s">
        <v>26</v>
      </c>
      <c r="D22" s="1" t="s">
        <v>31</v>
      </c>
      <c r="E22" s="6">
        <v>46235.6875</v>
      </c>
      <c r="F22" s="6">
        <v>46235.770833333336</v>
      </c>
      <c r="G22" s="6">
        <v>46236.708333333336</v>
      </c>
      <c r="H22" s="6">
        <v>46236.667361111111</v>
      </c>
      <c r="I22" s="6">
        <v>46236.833333333336</v>
      </c>
      <c r="J22" s="6">
        <v>46236.730555555558</v>
      </c>
      <c r="K22" s="1" t="s">
        <v>66</v>
      </c>
      <c r="L22" s="1" t="s">
        <v>34</v>
      </c>
      <c r="M22" s="6"/>
      <c r="N22" s="6"/>
      <c r="O22" s="1">
        <v>0</v>
      </c>
      <c r="P22" s="1">
        <v>5</v>
      </c>
      <c r="Q22" s="5">
        <f t="shared" si="0"/>
        <v>1</v>
      </c>
      <c r="R22" s="5">
        <f t="shared" si="1"/>
        <v>1</v>
      </c>
      <c r="S22" s="5">
        <f t="shared" si="2"/>
        <v>0</v>
      </c>
      <c r="T22" s="5">
        <f t="shared" si="3"/>
        <v>0</v>
      </c>
      <c r="U22" s="5">
        <f t="shared" si="4"/>
        <v>0</v>
      </c>
      <c r="V22" s="5" t="str">
        <f t="shared" si="5"/>
        <v>无</v>
      </c>
      <c r="W22" s="5">
        <f t="shared" si="6"/>
        <v>1</v>
      </c>
    </row>
    <row r="23" spans="1:23" ht="17.25" customHeight="1">
      <c r="A23" s="1" t="s">
        <v>89</v>
      </c>
      <c r="B23" s="1" t="s">
        <v>22</v>
      </c>
      <c r="C23" s="1" t="s">
        <v>25</v>
      </c>
      <c r="D23" s="1" t="s">
        <v>32</v>
      </c>
      <c r="E23" s="6">
        <v>46235.708333333336</v>
      </c>
      <c r="F23" s="6">
        <v>46235.820138888892</v>
      </c>
      <c r="G23" s="6">
        <v>46238.416666666664</v>
      </c>
      <c r="H23" s="6">
        <v>46238.406944444447</v>
      </c>
      <c r="I23" s="6">
        <v>46238.625</v>
      </c>
      <c r="J23" s="6">
        <v>46238.706944444442</v>
      </c>
      <c r="K23" s="1" t="s">
        <v>66</v>
      </c>
      <c r="L23" s="1" t="s">
        <v>37</v>
      </c>
      <c r="M23" s="6">
        <v>46238.625</v>
      </c>
      <c r="N23" s="6"/>
      <c r="O23" s="1">
        <v>0</v>
      </c>
      <c r="P23" s="1">
        <v>4</v>
      </c>
      <c r="Q23" s="5">
        <f t="shared" si="0"/>
        <v>1</v>
      </c>
      <c r="R23" s="5">
        <f t="shared" si="1"/>
        <v>0</v>
      </c>
      <c r="S23" s="5">
        <f t="shared" si="2"/>
        <v>1</v>
      </c>
      <c r="T23" s="5">
        <f t="shared" si="3"/>
        <v>0</v>
      </c>
      <c r="U23" s="5">
        <f t="shared" si="4"/>
        <v>1</v>
      </c>
      <c r="V23" s="5" t="str">
        <f t="shared" si="5"/>
        <v>完工超时</v>
      </c>
      <c r="W23" s="5">
        <f t="shared" si="6"/>
        <v>1</v>
      </c>
    </row>
    <row r="24" spans="1:23" ht="17.25" customHeight="1">
      <c r="A24" s="1" t="s">
        <v>90</v>
      </c>
      <c r="B24" s="1" t="s">
        <v>20</v>
      </c>
      <c r="C24" s="1" t="s">
        <v>24</v>
      </c>
      <c r="D24" s="1" t="s">
        <v>27</v>
      </c>
      <c r="E24" s="6">
        <v>46235.774305555555</v>
      </c>
      <c r="F24" s="6">
        <v>46235.811111111114</v>
      </c>
      <c r="G24" s="6">
        <v>46236.5</v>
      </c>
      <c r="H24" s="6">
        <v>46236.486805555556</v>
      </c>
      <c r="I24" s="6">
        <v>46236.666666666664</v>
      </c>
      <c r="J24" s="6">
        <v>46236.561805555553</v>
      </c>
      <c r="K24" s="1" t="s">
        <v>66</v>
      </c>
      <c r="L24" s="1" t="s">
        <v>34</v>
      </c>
      <c r="M24" s="6"/>
      <c r="N24" s="6"/>
      <c r="O24" s="1">
        <v>0</v>
      </c>
      <c r="P24" s="1">
        <v>5</v>
      </c>
      <c r="Q24" s="5">
        <f t="shared" si="0"/>
        <v>1</v>
      </c>
      <c r="R24" s="5">
        <f t="shared" si="1"/>
        <v>1</v>
      </c>
      <c r="S24" s="5">
        <f t="shared" si="2"/>
        <v>0</v>
      </c>
      <c r="T24" s="5">
        <f t="shared" si="3"/>
        <v>0</v>
      </c>
      <c r="U24" s="5">
        <f t="shared" si="4"/>
        <v>0</v>
      </c>
      <c r="V24" s="5" t="str">
        <f t="shared" si="5"/>
        <v>无</v>
      </c>
      <c r="W24" s="5">
        <f t="shared" si="6"/>
        <v>1</v>
      </c>
    </row>
    <row r="25" spans="1:23" ht="17.25" customHeight="1">
      <c r="A25" s="1" t="s">
        <v>91</v>
      </c>
      <c r="B25" s="1" t="s">
        <v>22</v>
      </c>
      <c r="C25" s="1" t="s">
        <v>24</v>
      </c>
      <c r="D25" s="1" t="s">
        <v>32</v>
      </c>
      <c r="E25" s="6">
        <v>46235.784722222219</v>
      </c>
      <c r="F25" s="6">
        <v>46235.881944444445</v>
      </c>
      <c r="G25" s="6">
        <v>46236.416666666664</v>
      </c>
      <c r="H25" s="6">
        <v>46236.390972222223</v>
      </c>
      <c r="I25" s="6">
        <v>46236.583333333336</v>
      </c>
      <c r="J25" s="6">
        <v>46236.427777777775</v>
      </c>
      <c r="K25" s="1" t="s">
        <v>66</v>
      </c>
      <c r="L25" s="1" t="s">
        <v>34</v>
      </c>
      <c r="M25" s="6"/>
      <c r="N25" s="6"/>
      <c r="O25" s="1">
        <v>0</v>
      </c>
      <c r="P25" s="1">
        <v>4</v>
      </c>
      <c r="Q25" s="5">
        <f t="shared" si="0"/>
        <v>1</v>
      </c>
      <c r="R25" s="5">
        <f t="shared" si="1"/>
        <v>1</v>
      </c>
      <c r="S25" s="5">
        <f t="shared" si="2"/>
        <v>0</v>
      </c>
      <c r="T25" s="5">
        <f t="shared" si="3"/>
        <v>0</v>
      </c>
      <c r="U25" s="5">
        <f t="shared" si="4"/>
        <v>0</v>
      </c>
      <c r="V25" s="5" t="str">
        <f t="shared" si="5"/>
        <v>无</v>
      </c>
      <c r="W25" s="5">
        <f t="shared" si="6"/>
        <v>1</v>
      </c>
    </row>
    <row r="26" spans="1:23" ht="17.25" customHeight="1">
      <c r="A26" s="1" t="s">
        <v>92</v>
      </c>
      <c r="B26" s="1" t="s">
        <v>21</v>
      </c>
      <c r="C26" s="1" t="s">
        <v>25</v>
      </c>
      <c r="D26" s="1" t="s">
        <v>30</v>
      </c>
      <c r="E26" s="6">
        <v>46236.354166666664</v>
      </c>
      <c r="F26" s="6">
        <v>46236.426388888889</v>
      </c>
      <c r="G26" s="6">
        <v>46238.5</v>
      </c>
      <c r="H26" s="6">
        <v>46238.479166666664</v>
      </c>
      <c r="I26" s="6">
        <v>46238.708333333336</v>
      </c>
      <c r="J26" s="6"/>
      <c r="K26" s="1" t="s">
        <v>73</v>
      </c>
      <c r="L26" s="1" t="s">
        <v>37</v>
      </c>
      <c r="M26" s="6">
        <v>46238.708333333336</v>
      </c>
      <c r="N26" s="6"/>
      <c r="O26" s="1">
        <v>0</v>
      </c>
      <c r="P26" s="1"/>
      <c r="Q26" s="5">
        <f t="shared" si="0"/>
        <v>1</v>
      </c>
      <c r="R26" s="5">
        <f t="shared" si="1"/>
        <v>0</v>
      </c>
      <c r="S26" s="5">
        <f t="shared" si="2"/>
        <v>1</v>
      </c>
      <c r="T26" s="5">
        <f t="shared" si="3"/>
        <v>0</v>
      </c>
      <c r="U26" s="5">
        <f t="shared" si="4"/>
        <v>1</v>
      </c>
      <c r="V26" s="5" t="str">
        <f t="shared" si="5"/>
        <v>完工超时</v>
      </c>
      <c r="W26" s="5">
        <f t="shared" si="6"/>
        <v>1</v>
      </c>
    </row>
    <row r="27" spans="1:23" ht="17.25" customHeight="1">
      <c r="A27" s="1" t="s">
        <v>93</v>
      </c>
      <c r="B27" s="1" t="s">
        <v>21</v>
      </c>
      <c r="C27" s="1" t="s">
        <v>24</v>
      </c>
      <c r="D27" s="1" t="s">
        <v>30</v>
      </c>
      <c r="E27" s="6">
        <v>46236.371527777781</v>
      </c>
      <c r="F27" s="6">
        <v>46236.451388888891</v>
      </c>
      <c r="G27" s="6">
        <v>46237.625</v>
      </c>
      <c r="H27" s="6">
        <v>46237.598611111112</v>
      </c>
      <c r="I27" s="6">
        <v>46237.791666666664</v>
      </c>
      <c r="J27" s="6">
        <v>46237.673611111109</v>
      </c>
      <c r="K27" s="1" t="s">
        <v>66</v>
      </c>
      <c r="L27" s="1" t="s">
        <v>34</v>
      </c>
      <c r="M27" s="6"/>
      <c r="N27" s="6"/>
      <c r="O27" s="1">
        <v>0</v>
      </c>
      <c r="P27" s="1">
        <v>5</v>
      </c>
      <c r="Q27" s="5">
        <f t="shared" si="0"/>
        <v>1</v>
      </c>
      <c r="R27" s="5">
        <f t="shared" si="1"/>
        <v>1</v>
      </c>
      <c r="S27" s="5">
        <f t="shared" si="2"/>
        <v>0</v>
      </c>
      <c r="T27" s="5">
        <f t="shared" si="3"/>
        <v>0</v>
      </c>
      <c r="U27" s="5">
        <f t="shared" si="4"/>
        <v>0</v>
      </c>
      <c r="V27" s="5" t="str">
        <f t="shared" si="5"/>
        <v>无</v>
      </c>
      <c r="W27" s="5">
        <f t="shared" si="6"/>
        <v>1</v>
      </c>
    </row>
    <row r="28" spans="1:23" ht="17.25" customHeight="1">
      <c r="A28" s="1" t="s">
        <v>94</v>
      </c>
      <c r="B28" s="1" t="s">
        <v>21</v>
      </c>
      <c r="C28" s="1" t="s">
        <v>25</v>
      </c>
      <c r="D28" s="1" t="s">
        <v>29</v>
      </c>
      <c r="E28" s="6">
        <v>46236.378472222219</v>
      </c>
      <c r="F28" s="6">
        <v>46236.522222222222</v>
      </c>
      <c r="G28" s="6">
        <v>46237.416666666664</v>
      </c>
      <c r="H28" s="6">
        <v>46237.381249999999</v>
      </c>
      <c r="I28" s="6">
        <v>46237.625</v>
      </c>
      <c r="J28" s="6">
        <v>46237.44027777778</v>
      </c>
      <c r="K28" s="1" t="s">
        <v>66</v>
      </c>
      <c r="L28" s="1" t="s">
        <v>34</v>
      </c>
      <c r="M28" s="6"/>
      <c r="N28" s="6"/>
      <c r="O28" s="1">
        <v>0</v>
      </c>
      <c r="P28" s="1">
        <v>5</v>
      </c>
      <c r="Q28" s="5">
        <f t="shared" si="0"/>
        <v>1</v>
      </c>
      <c r="R28" s="5">
        <f t="shared" si="1"/>
        <v>1</v>
      </c>
      <c r="S28" s="5">
        <f t="shared" si="2"/>
        <v>0</v>
      </c>
      <c r="T28" s="5">
        <f t="shared" si="3"/>
        <v>0</v>
      </c>
      <c r="U28" s="5">
        <f t="shared" si="4"/>
        <v>0</v>
      </c>
      <c r="V28" s="5" t="str">
        <f t="shared" si="5"/>
        <v>无</v>
      </c>
      <c r="W28" s="5">
        <f t="shared" si="6"/>
        <v>1</v>
      </c>
    </row>
    <row r="29" spans="1:23" ht="17.25" customHeight="1">
      <c r="A29" s="1" t="s">
        <v>95</v>
      </c>
      <c r="B29" s="1" t="s">
        <v>22</v>
      </c>
      <c r="C29" s="1" t="s">
        <v>24</v>
      </c>
      <c r="D29" s="1" t="s">
        <v>32</v>
      </c>
      <c r="E29" s="6">
        <v>46236.381944444445</v>
      </c>
      <c r="F29" s="6">
        <v>46236.537499999999</v>
      </c>
      <c r="G29" s="6">
        <v>46237.625</v>
      </c>
      <c r="H29" s="6">
        <v>46237.594444444447</v>
      </c>
      <c r="I29" s="6">
        <v>46237.791666666664</v>
      </c>
      <c r="J29" s="6">
        <v>46237.82916666667</v>
      </c>
      <c r="K29" s="1" t="s">
        <v>66</v>
      </c>
      <c r="L29" s="1" t="s">
        <v>37</v>
      </c>
      <c r="M29" s="6">
        <v>46237.791666666664</v>
      </c>
      <c r="N29" s="6">
        <v>46237.877083333333</v>
      </c>
      <c r="O29" s="1">
        <v>1</v>
      </c>
      <c r="P29" s="1"/>
      <c r="Q29" s="5">
        <f t="shared" si="0"/>
        <v>1</v>
      </c>
      <c r="R29" s="5">
        <f t="shared" si="1"/>
        <v>0</v>
      </c>
      <c r="S29" s="5">
        <f t="shared" si="2"/>
        <v>1</v>
      </c>
      <c r="T29" s="5">
        <f t="shared" si="3"/>
        <v>1</v>
      </c>
      <c r="U29" s="5">
        <f t="shared" si="4"/>
        <v>0</v>
      </c>
      <c r="V29" s="5" t="str">
        <f t="shared" si="5"/>
        <v>完工超时</v>
      </c>
      <c r="W29" s="5">
        <f t="shared" si="6"/>
        <v>1</v>
      </c>
    </row>
    <row r="30" spans="1:23" ht="17.25" customHeight="1">
      <c r="A30" s="1" t="s">
        <v>96</v>
      </c>
      <c r="B30" s="1" t="s">
        <v>20</v>
      </c>
      <c r="C30" s="1" t="s">
        <v>25</v>
      </c>
      <c r="D30" s="1" t="s">
        <v>28</v>
      </c>
      <c r="E30" s="6">
        <v>46236.427083333336</v>
      </c>
      <c r="F30" s="6">
        <v>46236.586805555555</v>
      </c>
      <c r="G30" s="6">
        <v>46239.625</v>
      </c>
      <c r="H30" s="6">
        <v>46239.57916666667</v>
      </c>
      <c r="I30" s="6">
        <v>46239.833333333336</v>
      </c>
      <c r="J30" s="6">
        <v>46239.638888888891</v>
      </c>
      <c r="K30" s="1" t="s">
        <v>66</v>
      </c>
      <c r="L30" s="1" t="s">
        <v>34</v>
      </c>
      <c r="M30" s="6"/>
      <c r="N30" s="6"/>
      <c r="O30" s="1">
        <v>0</v>
      </c>
      <c r="P30" s="1"/>
      <c r="Q30" s="5">
        <f t="shared" si="0"/>
        <v>1</v>
      </c>
      <c r="R30" s="5">
        <f t="shared" si="1"/>
        <v>1</v>
      </c>
      <c r="S30" s="5">
        <f t="shared" si="2"/>
        <v>0</v>
      </c>
      <c r="T30" s="5">
        <f t="shared" si="3"/>
        <v>0</v>
      </c>
      <c r="U30" s="5">
        <f t="shared" si="4"/>
        <v>0</v>
      </c>
      <c r="V30" s="5" t="str">
        <f t="shared" si="5"/>
        <v>无</v>
      </c>
      <c r="W30" s="5">
        <f t="shared" si="6"/>
        <v>1</v>
      </c>
    </row>
    <row r="31" spans="1:23" ht="17.25" customHeight="1">
      <c r="A31" s="1" t="s">
        <v>97</v>
      </c>
      <c r="B31" s="1" t="s">
        <v>21</v>
      </c>
      <c r="C31" s="1" t="s">
        <v>25</v>
      </c>
      <c r="D31" s="1" t="s">
        <v>30</v>
      </c>
      <c r="E31" s="6">
        <v>46236.430555555555</v>
      </c>
      <c r="F31" s="6">
        <v>46236.575694444444</v>
      </c>
      <c r="G31" s="6">
        <v>46238.625</v>
      </c>
      <c r="H31" s="6">
        <v>46238.617361111108</v>
      </c>
      <c r="I31" s="6">
        <v>46238.833333333336</v>
      </c>
      <c r="J31" s="6">
        <v>46238.713194444441</v>
      </c>
      <c r="K31" s="1" t="s">
        <v>66</v>
      </c>
      <c r="L31" s="1" t="s">
        <v>34</v>
      </c>
      <c r="M31" s="6"/>
      <c r="N31" s="6"/>
      <c r="O31" s="1">
        <v>0</v>
      </c>
      <c r="P31" s="1">
        <v>5</v>
      </c>
      <c r="Q31" s="5">
        <f t="shared" si="0"/>
        <v>1</v>
      </c>
      <c r="R31" s="5">
        <f t="shared" si="1"/>
        <v>1</v>
      </c>
      <c r="S31" s="5">
        <f t="shared" si="2"/>
        <v>0</v>
      </c>
      <c r="T31" s="5">
        <f t="shared" si="3"/>
        <v>0</v>
      </c>
      <c r="U31" s="5">
        <f t="shared" si="4"/>
        <v>0</v>
      </c>
      <c r="V31" s="5" t="str">
        <f t="shared" si="5"/>
        <v>无</v>
      </c>
      <c r="W31" s="5">
        <f t="shared" si="6"/>
        <v>1</v>
      </c>
    </row>
    <row r="32" spans="1:23" ht="17.25" customHeight="1">
      <c r="A32" s="1" t="s">
        <v>98</v>
      </c>
      <c r="B32" s="1" t="s">
        <v>21</v>
      </c>
      <c r="C32" s="1" t="s">
        <v>24</v>
      </c>
      <c r="D32" s="1" t="s">
        <v>30</v>
      </c>
      <c r="E32" s="6">
        <v>46236.434027777781</v>
      </c>
      <c r="F32" s="6">
        <v>46236.568749999999</v>
      </c>
      <c r="G32" s="6">
        <v>46239.625</v>
      </c>
      <c r="H32" s="6">
        <v>46239.575694444444</v>
      </c>
      <c r="I32" s="6">
        <v>46239.791666666664</v>
      </c>
      <c r="J32" s="6">
        <v>46239.644444444442</v>
      </c>
      <c r="K32" s="1" t="s">
        <v>66</v>
      </c>
      <c r="L32" s="1" t="s">
        <v>34</v>
      </c>
      <c r="M32" s="6"/>
      <c r="N32" s="6"/>
      <c r="O32" s="1">
        <v>0</v>
      </c>
      <c r="P32" s="1">
        <v>3</v>
      </c>
      <c r="Q32" s="5">
        <f t="shared" si="0"/>
        <v>1</v>
      </c>
      <c r="R32" s="5">
        <f t="shared" si="1"/>
        <v>1</v>
      </c>
      <c r="S32" s="5">
        <f t="shared" si="2"/>
        <v>0</v>
      </c>
      <c r="T32" s="5">
        <f t="shared" si="3"/>
        <v>0</v>
      </c>
      <c r="U32" s="5">
        <f t="shared" si="4"/>
        <v>0</v>
      </c>
      <c r="V32" s="5" t="str">
        <f t="shared" si="5"/>
        <v>无</v>
      </c>
      <c r="W32" s="5">
        <f t="shared" si="6"/>
        <v>1</v>
      </c>
    </row>
    <row r="33" spans="1:23" ht="17.25" customHeight="1">
      <c r="A33" s="1" t="s">
        <v>99</v>
      </c>
      <c r="B33" s="1" t="s">
        <v>20</v>
      </c>
      <c r="C33" s="1" t="s">
        <v>25</v>
      </c>
      <c r="D33" s="1" t="s">
        <v>28</v>
      </c>
      <c r="E33" s="6">
        <v>46236.458333333336</v>
      </c>
      <c r="F33" s="6">
        <v>46236.556944444441</v>
      </c>
      <c r="G33" s="6">
        <v>46237.708333333336</v>
      </c>
      <c r="H33" s="6">
        <v>46237.673611111109</v>
      </c>
      <c r="I33" s="6">
        <v>46237.916666666664</v>
      </c>
      <c r="J33" s="6">
        <v>46237.990277777775</v>
      </c>
      <c r="K33" s="1" t="s">
        <v>66</v>
      </c>
      <c r="L33" s="1" t="s">
        <v>37</v>
      </c>
      <c r="M33" s="6">
        <v>46237.916666666664</v>
      </c>
      <c r="N33" s="6">
        <v>46238.024305555555</v>
      </c>
      <c r="O33" s="1">
        <v>0</v>
      </c>
      <c r="P33" s="1">
        <v>4</v>
      </c>
      <c r="Q33" s="5">
        <f t="shared" si="0"/>
        <v>1</v>
      </c>
      <c r="R33" s="5">
        <f t="shared" si="1"/>
        <v>0</v>
      </c>
      <c r="S33" s="5">
        <f t="shared" si="2"/>
        <v>1</v>
      </c>
      <c r="T33" s="5">
        <f t="shared" si="3"/>
        <v>1</v>
      </c>
      <c r="U33" s="5">
        <f t="shared" si="4"/>
        <v>0</v>
      </c>
      <c r="V33" s="5" t="str">
        <f t="shared" si="5"/>
        <v>完工超时</v>
      </c>
      <c r="W33" s="5">
        <f t="shared" si="6"/>
        <v>1</v>
      </c>
    </row>
    <row r="34" spans="1:23" ht="17.25" customHeight="1">
      <c r="A34" s="1" t="s">
        <v>100</v>
      </c>
      <c r="B34" s="1" t="s">
        <v>22</v>
      </c>
      <c r="C34" s="1" t="s">
        <v>24</v>
      </c>
      <c r="D34" s="1" t="s">
        <v>32</v>
      </c>
      <c r="E34" s="6">
        <v>46236.465277777781</v>
      </c>
      <c r="F34" s="6">
        <v>46236.504861111112</v>
      </c>
      <c r="G34" s="6">
        <v>46237.625</v>
      </c>
      <c r="H34" s="6">
        <v>46237.606249999997</v>
      </c>
      <c r="I34" s="6">
        <v>46237.791666666664</v>
      </c>
      <c r="J34" s="6">
        <v>46237.707638888889</v>
      </c>
      <c r="K34" s="1" t="s">
        <v>66</v>
      </c>
      <c r="L34" s="1" t="s">
        <v>34</v>
      </c>
      <c r="M34" s="6"/>
      <c r="N34" s="6"/>
      <c r="O34" s="1">
        <v>0</v>
      </c>
      <c r="P34" s="1">
        <v>4</v>
      </c>
      <c r="Q34" s="5">
        <f t="shared" si="0"/>
        <v>1</v>
      </c>
      <c r="R34" s="5">
        <f t="shared" si="1"/>
        <v>1</v>
      </c>
      <c r="S34" s="5">
        <f t="shared" si="2"/>
        <v>0</v>
      </c>
      <c r="T34" s="5">
        <f t="shared" si="3"/>
        <v>0</v>
      </c>
      <c r="U34" s="5">
        <f t="shared" si="4"/>
        <v>0</v>
      </c>
      <c r="V34" s="5" t="str">
        <f t="shared" si="5"/>
        <v>无</v>
      </c>
      <c r="W34" s="5">
        <f t="shared" si="6"/>
        <v>1</v>
      </c>
    </row>
    <row r="35" spans="1:23" ht="17.25" customHeight="1">
      <c r="A35" s="1" t="s">
        <v>101</v>
      </c>
      <c r="B35" s="1" t="s">
        <v>21</v>
      </c>
      <c r="C35" s="1" t="s">
        <v>24</v>
      </c>
      <c r="D35" s="1" t="s">
        <v>29</v>
      </c>
      <c r="E35" s="6">
        <v>46236.482638888891</v>
      </c>
      <c r="F35" s="6">
        <v>46236.611111111109</v>
      </c>
      <c r="G35" s="6">
        <v>46238.625</v>
      </c>
      <c r="H35" s="6">
        <v>46238.606249999997</v>
      </c>
      <c r="I35" s="6">
        <v>46238.791666666664</v>
      </c>
      <c r="J35" s="6">
        <v>46238.689583333333</v>
      </c>
      <c r="K35" s="1" t="s">
        <v>66</v>
      </c>
      <c r="L35" s="1" t="s">
        <v>34</v>
      </c>
      <c r="M35" s="6"/>
      <c r="N35" s="6"/>
      <c r="O35" s="1">
        <v>0</v>
      </c>
      <c r="P35" s="1">
        <v>4</v>
      </c>
      <c r="Q35" s="5">
        <f t="shared" si="0"/>
        <v>1</v>
      </c>
      <c r="R35" s="5">
        <f t="shared" si="1"/>
        <v>1</v>
      </c>
      <c r="S35" s="5">
        <f t="shared" si="2"/>
        <v>0</v>
      </c>
      <c r="T35" s="5">
        <f t="shared" si="3"/>
        <v>0</v>
      </c>
      <c r="U35" s="5">
        <f t="shared" si="4"/>
        <v>0</v>
      </c>
      <c r="V35" s="5" t="str">
        <f t="shared" si="5"/>
        <v>无</v>
      </c>
      <c r="W35" s="5">
        <f t="shared" si="6"/>
        <v>1</v>
      </c>
    </row>
    <row r="36" spans="1:23" ht="17.25" customHeight="1">
      <c r="A36" s="1" t="s">
        <v>102</v>
      </c>
      <c r="B36" s="1" t="s">
        <v>20</v>
      </c>
      <c r="C36" s="1" t="s">
        <v>26</v>
      </c>
      <c r="D36" s="1" t="s">
        <v>28</v>
      </c>
      <c r="E36" s="6">
        <v>46236.493055555555</v>
      </c>
      <c r="F36" s="6">
        <v>46236.611111111109</v>
      </c>
      <c r="G36" s="6">
        <v>46238.625</v>
      </c>
      <c r="H36" s="6">
        <v>46238.6</v>
      </c>
      <c r="I36" s="6">
        <v>46238.75</v>
      </c>
      <c r="J36" s="6">
        <v>46238.691666666666</v>
      </c>
      <c r="K36" s="1" t="s">
        <v>66</v>
      </c>
      <c r="L36" s="1" t="s">
        <v>34</v>
      </c>
      <c r="M36" s="6"/>
      <c r="N36" s="6"/>
      <c r="O36" s="1">
        <v>0</v>
      </c>
      <c r="P36" s="1">
        <v>4</v>
      </c>
      <c r="Q36" s="5">
        <f t="shared" si="0"/>
        <v>1</v>
      </c>
      <c r="R36" s="5">
        <f t="shared" si="1"/>
        <v>1</v>
      </c>
      <c r="S36" s="5">
        <f t="shared" si="2"/>
        <v>0</v>
      </c>
      <c r="T36" s="5">
        <f t="shared" si="3"/>
        <v>0</v>
      </c>
      <c r="U36" s="5">
        <f t="shared" si="4"/>
        <v>0</v>
      </c>
      <c r="V36" s="5" t="str">
        <f t="shared" si="5"/>
        <v>无</v>
      </c>
      <c r="W36" s="5">
        <f t="shared" si="6"/>
        <v>1</v>
      </c>
    </row>
    <row r="37" spans="1:23" ht="17.25" customHeight="1">
      <c r="A37" s="1" t="s">
        <v>103</v>
      </c>
      <c r="B37" s="1" t="s">
        <v>22</v>
      </c>
      <c r="C37" s="1" t="s">
        <v>25</v>
      </c>
      <c r="D37" s="1" t="s">
        <v>32</v>
      </c>
      <c r="E37" s="6">
        <v>46236.503472222219</v>
      </c>
      <c r="F37" s="6">
        <v>46236.590277777781</v>
      </c>
      <c r="G37" s="6">
        <v>46237.5</v>
      </c>
      <c r="H37" s="6">
        <v>46237.526388888888</v>
      </c>
      <c r="I37" s="6">
        <v>46237.708333333336</v>
      </c>
      <c r="J37" s="6">
        <v>46237.617361111108</v>
      </c>
      <c r="K37" s="1" t="s">
        <v>66</v>
      </c>
      <c r="L37" s="1" t="s">
        <v>36</v>
      </c>
      <c r="M37" s="6">
        <v>46237.5</v>
      </c>
      <c r="N37" s="6">
        <v>46237.647916666669</v>
      </c>
      <c r="O37" s="1">
        <v>0</v>
      </c>
      <c r="P37" s="1">
        <v>2</v>
      </c>
      <c r="Q37" s="5">
        <f t="shared" si="0"/>
        <v>0</v>
      </c>
      <c r="R37" s="5">
        <f t="shared" si="1"/>
        <v>1</v>
      </c>
      <c r="S37" s="5">
        <f t="shared" si="2"/>
        <v>1</v>
      </c>
      <c r="T37" s="5">
        <f t="shared" si="3"/>
        <v>1</v>
      </c>
      <c r="U37" s="5">
        <f t="shared" si="4"/>
        <v>0</v>
      </c>
      <c r="V37" s="5" t="str">
        <f t="shared" si="5"/>
        <v>上门超时</v>
      </c>
      <c r="W37" s="5">
        <f t="shared" si="6"/>
        <v>1</v>
      </c>
    </row>
    <row r="38" spans="1:23" ht="17.25" customHeight="1">
      <c r="A38" s="1" t="s">
        <v>104</v>
      </c>
      <c r="B38" s="1" t="s">
        <v>22</v>
      </c>
      <c r="C38" s="1" t="s">
        <v>24</v>
      </c>
      <c r="D38" s="1" t="s">
        <v>32</v>
      </c>
      <c r="E38" s="6">
        <v>46236.513888888891</v>
      </c>
      <c r="F38" s="6">
        <v>46236.668749999997</v>
      </c>
      <c r="G38" s="6">
        <v>46238.708333333336</v>
      </c>
      <c r="H38" s="6">
        <v>46238.696527777778</v>
      </c>
      <c r="I38" s="6">
        <v>46238.875</v>
      </c>
      <c r="J38" s="6">
        <v>46238.790972222225</v>
      </c>
      <c r="K38" s="1" t="s">
        <v>66</v>
      </c>
      <c r="L38" s="1" t="s">
        <v>34</v>
      </c>
      <c r="M38" s="6"/>
      <c r="N38" s="6"/>
      <c r="O38" s="1">
        <v>0</v>
      </c>
      <c r="P38" s="1">
        <v>5</v>
      </c>
      <c r="Q38" s="5">
        <f t="shared" si="0"/>
        <v>1</v>
      </c>
      <c r="R38" s="5">
        <f t="shared" si="1"/>
        <v>1</v>
      </c>
      <c r="S38" s="5">
        <f t="shared" si="2"/>
        <v>0</v>
      </c>
      <c r="T38" s="5">
        <f t="shared" si="3"/>
        <v>0</v>
      </c>
      <c r="U38" s="5">
        <f t="shared" si="4"/>
        <v>0</v>
      </c>
      <c r="V38" s="5" t="str">
        <f t="shared" si="5"/>
        <v>无</v>
      </c>
      <c r="W38" s="5">
        <f t="shared" si="6"/>
        <v>1</v>
      </c>
    </row>
    <row r="39" spans="1:23" ht="17.25" customHeight="1">
      <c r="A39" s="1" t="s">
        <v>105</v>
      </c>
      <c r="B39" s="1" t="s">
        <v>21</v>
      </c>
      <c r="C39" s="1" t="s">
        <v>24</v>
      </c>
      <c r="D39" s="1" t="s">
        <v>29</v>
      </c>
      <c r="E39" s="6">
        <v>46236.524305555555</v>
      </c>
      <c r="F39" s="6">
        <v>46236.68472222222</v>
      </c>
      <c r="G39" s="6">
        <v>46238.625</v>
      </c>
      <c r="H39" s="6"/>
      <c r="I39" s="6">
        <v>46238.791666666664</v>
      </c>
      <c r="J39" s="6"/>
      <c r="K39" s="1" t="s">
        <v>73</v>
      </c>
      <c r="L39" s="1" t="s">
        <v>36</v>
      </c>
      <c r="M39" s="6">
        <v>46238.625</v>
      </c>
      <c r="N39" s="6"/>
      <c r="O39" s="1">
        <v>0</v>
      </c>
      <c r="P39" s="1"/>
      <c r="Q39" s="5">
        <f t="shared" si="0"/>
        <v>0</v>
      </c>
      <c r="R39" s="5">
        <f t="shared" si="1"/>
        <v>0</v>
      </c>
      <c r="S39" s="5">
        <f t="shared" si="2"/>
        <v>1</v>
      </c>
      <c r="T39" s="5">
        <f t="shared" si="3"/>
        <v>0</v>
      </c>
      <c r="U39" s="5">
        <f t="shared" si="4"/>
        <v>1</v>
      </c>
      <c r="V39" s="5" t="str">
        <f t="shared" si="5"/>
        <v>上门超时</v>
      </c>
      <c r="W39" s="5">
        <f t="shared" si="6"/>
        <v>1</v>
      </c>
    </row>
    <row r="40" spans="1:23" ht="17.25" customHeight="1">
      <c r="A40" s="1" t="s">
        <v>106</v>
      </c>
      <c r="B40" s="1" t="s">
        <v>20</v>
      </c>
      <c r="C40" s="1" t="s">
        <v>24</v>
      </c>
      <c r="D40" s="1" t="s">
        <v>27</v>
      </c>
      <c r="E40" s="6">
        <v>46236.527777777781</v>
      </c>
      <c r="F40" s="6">
        <v>46236.561111111114</v>
      </c>
      <c r="G40" s="6">
        <v>46239.625</v>
      </c>
      <c r="H40" s="6">
        <v>46239.615972222222</v>
      </c>
      <c r="I40" s="6">
        <v>46239.791666666664</v>
      </c>
      <c r="J40" s="6">
        <v>46239.712500000001</v>
      </c>
      <c r="K40" s="1" t="s">
        <v>66</v>
      </c>
      <c r="L40" s="1" t="s">
        <v>34</v>
      </c>
      <c r="M40" s="6"/>
      <c r="N40" s="6"/>
      <c r="O40" s="1">
        <v>0</v>
      </c>
      <c r="P40" s="1">
        <v>5</v>
      </c>
      <c r="Q40" s="5">
        <f t="shared" si="0"/>
        <v>1</v>
      </c>
      <c r="R40" s="5">
        <f t="shared" si="1"/>
        <v>1</v>
      </c>
      <c r="S40" s="5">
        <f t="shared" si="2"/>
        <v>0</v>
      </c>
      <c r="T40" s="5">
        <f t="shared" si="3"/>
        <v>0</v>
      </c>
      <c r="U40" s="5">
        <f t="shared" si="4"/>
        <v>0</v>
      </c>
      <c r="V40" s="5" t="str">
        <f t="shared" si="5"/>
        <v>无</v>
      </c>
      <c r="W40" s="5">
        <f t="shared" si="6"/>
        <v>1</v>
      </c>
    </row>
    <row r="41" spans="1:23" ht="17.25" customHeight="1">
      <c r="A41" s="1" t="s">
        <v>107</v>
      </c>
      <c r="B41" s="1" t="s">
        <v>20</v>
      </c>
      <c r="C41" s="1" t="s">
        <v>25</v>
      </c>
      <c r="D41" s="1" t="s">
        <v>28</v>
      </c>
      <c r="E41" s="6">
        <v>46236.541666666664</v>
      </c>
      <c r="F41" s="6"/>
      <c r="G41" s="6">
        <v>46237.5</v>
      </c>
      <c r="H41" s="6"/>
      <c r="I41" s="6">
        <v>46237.708333333336</v>
      </c>
      <c r="J41" s="6"/>
      <c r="K41" s="1" t="s">
        <v>73</v>
      </c>
      <c r="L41" s="1" t="s">
        <v>35</v>
      </c>
      <c r="M41" s="6">
        <v>46237.5</v>
      </c>
      <c r="N41" s="6"/>
      <c r="O41" s="1">
        <v>0</v>
      </c>
      <c r="P41" s="1"/>
      <c r="Q41" s="5">
        <f t="shared" si="0"/>
        <v>0</v>
      </c>
      <c r="R41" s="5">
        <f t="shared" si="1"/>
        <v>0</v>
      </c>
      <c r="S41" s="5">
        <f t="shared" si="2"/>
        <v>1</v>
      </c>
      <c r="T41" s="5">
        <f t="shared" si="3"/>
        <v>0</v>
      </c>
      <c r="U41" s="5">
        <f t="shared" si="4"/>
        <v>1</v>
      </c>
      <c r="V41" s="5" t="str">
        <f t="shared" si="5"/>
        <v>派单超时</v>
      </c>
      <c r="W41" s="5">
        <f t="shared" si="6"/>
        <v>1</v>
      </c>
    </row>
    <row r="42" spans="1:23" ht="17.25" customHeight="1">
      <c r="A42" s="1" t="s">
        <v>108</v>
      </c>
      <c r="B42" s="1" t="s">
        <v>22</v>
      </c>
      <c r="C42" s="1" t="s">
        <v>25</v>
      </c>
      <c r="D42" s="1" t="s">
        <v>31</v>
      </c>
      <c r="E42" s="6">
        <v>46236.565972222219</v>
      </c>
      <c r="F42" s="6">
        <v>46236.65</v>
      </c>
      <c r="G42" s="6">
        <v>46237.5</v>
      </c>
      <c r="H42" s="6"/>
      <c r="I42" s="6">
        <v>46237.708333333336</v>
      </c>
      <c r="J42" s="6"/>
      <c r="K42" s="1" t="s">
        <v>73</v>
      </c>
      <c r="L42" s="1" t="s">
        <v>36</v>
      </c>
      <c r="M42" s="6">
        <v>46237.5</v>
      </c>
      <c r="N42" s="6"/>
      <c r="O42" s="1">
        <v>0</v>
      </c>
      <c r="P42" s="1"/>
      <c r="Q42" s="5">
        <f t="shared" si="0"/>
        <v>0</v>
      </c>
      <c r="R42" s="5">
        <f t="shared" si="1"/>
        <v>0</v>
      </c>
      <c r="S42" s="5">
        <f t="shared" si="2"/>
        <v>1</v>
      </c>
      <c r="T42" s="5">
        <f t="shared" si="3"/>
        <v>0</v>
      </c>
      <c r="U42" s="5">
        <f t="shared" si="4"/>
        <v>1</v>
      </c>
      <c r="V42" s="5" t="str">
        <f t="shared" si="5"/>
        <v>上门超时</v>
      </c>
      <c r="W42" s="5">
        <f t="shared" si="6"/>
        <v>1</v>
      </c>
    </row>
    <row r="43" spans="1:23" ht="17.25" customHeight="1">
      <c r="A43" s="1" t="s">
        <v>109</v>
      </c>
      <c r="B43" s="1" t="s">
        <v>21</v>
      </c>
      <c r="C43" s="1" t="s">
        <v>25</v>
      </c>
      <c r="D43" s="1" t="s">
        <v>30</v>
      </c>
      <c r="E43" s="6">
        <v>46236.597222222219</v>
      </c>
      <c r="F43" s="6">
        <v>46236.651388888888</v>
      </c>
      <c r="G43" s="6">
        <v>46237.708333333336</v>
      </c>
      <c r="H43" s="6">
        <v>46237.694444444445</v>
      </c>
      <c r="I43" s="6">
        <v>46237.916666666664</v>
      </c>
      <c r="J43" s="6">
        <v>46237.779166666667</v>
      </c>
      <c r="K43" s="1" t="s">
        <v>66</v>
      </c>
      <c r="L43" s="1" t="s">
        <v>34</v>
      </c>
      <c r="M43" s="6"/>
      <c r="N43" s="6"/>
      <c r="O43" s="1">
        <v>0</v>
      </c>
      <c r="P43" s="1">
        <v>4</v>
      </c>
      <c r="Q43" s="5">
        <f t="shared" si="0"/>
        <v>1</v>
      </c>
      <c r="R43" s="5">
        <f t="shared" si="1"/>
        <v>1</v>
      </c>
      <c r="S43" s="5">
        <f t="shared" si="2"/>
        <v>0</v>
      </c>
      <c r="T43" s="5">
        <f t="shared" si="3"/>
        <v>0</v>
      </c>
      <c r="U43" s="5">
        <f t="shared" si="4"/>
        <v>0</v>
      </c>
      <c r="V43" s="5" t="str">
        <f t="shared" si="5"/>
        <v>无</v>
      </c>
      <c r="W43" s="5">
        <f t="shared" si="6"/>
        <v>1</v>
      </c>
    </row>
    <row r="44" spans="1:23" ht="17.25" customHeight="1">
      <c r="A44" s="1" t="s">
        <v>110</v>
      </c>
      <c r="B44" s="1" t="s">
        <v>20</v>
      </c>
      <c r="C44" s="1" t="s">
        <v>25</v>
      </c>
      <c r="D44" s="1" t="s">
        <v>28</v>
      </c>
      <c r="E44" s="6">
        <v>46236.607638888891</v>
      </c>
      <c r="F44" s="6">
        <v>46236.697222222225</v>
      </c>
      <c r="G44" s="6">
        <v>46239.625</v>
      </c>
      <c r="H44" s="6">
        <v>46239.618055555555</v>
      </c>
      <c r="I44" s="6">
        <v>46239.833333333336</v>
      </c>
      <c r="J44" s="6">
        <v>46239.693055555559</v>
      </c>
      <c r="K44" s="1" t="s">
        <v>66</v>
      </c>
      <c r="L44" s="1" t="s">
        <v>34</v>
      </c>
      <c r="M44" s="6"/>
      <c r="N44" s="6"/>
      <c r="O44" s="1">
        <v>0</v>
      </c>
      <c r="P44" s="1">
        <v>4</v>
      </c>
      <c r="Q44" s="5">
        <f t="shared" si="0"/>
        <v>1</v>
      </c>
      <c r="R44" s="5">
        <f t="shared" si="1"/>
        <v>1</v>
      </c>
      <c r="S44" s="5">
        <f t="shared" si="2"/>
        <v>0</v>
      </c>
      <c r="T44" s="5">
        <f t="shared" si="3"/>
        <v>0</v>
      </c>
      <c r="U44" s="5">
        <f t="shared" si="4"/>
        <v>0</v>
      </c>
      <c r="V44" s="5" t="str">
        <f t="shared" si="5"/>
        <v>无</v>
      </c>
      <c r="W44" s="5">
        <f t="shared" si="6"/>
        <v>1</v>
      </c>
    </row>
    <row r="45" spans="1:23" ht="17.25" customHeight="1">
      <c r="A45" s="1" t="s">
        <v>111</v>
      </c>
      <c r="B45" s="1" t="s">
        <v>21</v>
      </c>
      <c r="C45" s="1" t="s">
        <v>26</v>
      </c>
      <c r="D45" s="1" t="s">
        <v>30</v>
      </c>
      <c r="E45" s="6">
        <v>46236.607638888891</v>
      </c>
      <c r="F45" s="6">
        <v>46236.628472222219</v>
      </c>
      <c r="G45" s="6">
        <v>46237.416666666664</v>
      </c>
      <c r="H45" s="6">
        <v>46237.402777777781</v>
      </c>
      <c r="I45" s="6">
        <v>46237.541666666664</v>
      </c>
      <c r="J45" s="6">
        <v>46237.477777777778</v>
      </c>
      <c r="K45" s="1" t="s">
        <v>66</v>
      </c>
      <c r="L45" s="1" t="s">
        <v>34</v>
      </c>
      <c r="M45" s="6"/>
      <c r="N45" s="6"/>
      <c r="O45" s="1">
        <v>0</v>
      </c>
      <c r="P45" s="1">
        <v>4</v>
      </c>
      <c r="Q45" s="5">
        <f t="shared" si="0"/>
        <v>1</v>
      </c>
      <c r="R45" s="5">
        <f t="shared" si="1"/>
        <v>1</v>
      </c>
      <c r="S45" s="5">
        <f t="shared" si="2"/>
        <v>0</v>
      </c>
      <c r="T45" s="5">
        <f t="shared" si="3"/>
        <v>0</v>
      </c>
      <c r="U45" s="5">
        <f t="shared" si="4"/>
        <v>0</v>
      </c>
      <c r="V45" s="5" t="str">
        <f t="shared" si="5"/>
        <v>无</v>
      </c>
      <c r="W45" s="5">
        <f t="shared" si="6"/>
        <v>1</v>
      </c>
    </row>
    <row r="46" spans="1:23" ht="17.25" customHeight="1">
      <c r="A46" s="1" t="s">
        <v>112</v>
      </c>
      <c r="B46" s="1" t="s">
        <v>20</v>
      </c>
      <c r="C46" s="1" t="s">
        <v>25</v>
      </c>
      <c r="D46" s="1" t="s">
        <v>28</v>
      </c>
      <c r="E46" s="6">
        <v>46236.621527777781</v>
      </c>
      <c r="F46" s="6">
        <v>46236.734027777777</v>
      </c>
      <c r="G46" s="6">
        <v>46237.5</v>
      </c>
      <c r="H46" s="6">
        <v>46237.477777777778</v>
      </c>
      <c r="I46" s="6">
        <v>46237.708333333336</v>
      </c>
      <c r="J46" s="6">
        <v>46237.568055555559</v>
      </c>
      <c r="K46" s="1" t="s">
        <v>66</v>
      </c>
      <c r="L46" s="1" t="s">
        <v>34</v>
      </c>
      <c r="M46" s="6"/>
      <c r="N46" s="6"/>
      <c r="O46" s="1">
        <v>0</v>
      </c>
      <c r="P46" s="1">
        <v>5</v>
      </c>
      <c r="Q46" s="5">
        <f t="shared" si="0"/>
        <v>1</v>
      </c>
      <c r="R46" s="5">
        <f t="shared" si="1"/>
        <v>1</v>
      </c>
      <c r="S46" s="5">
        <f t="shared" si="2"/>
        <v>0</v>
      </c>
      <c r="T46" s="5">
        <f t="shared" si="3"/>
        <v>0</v>
      </c>
      <c r="U46" s="5">
        <f t="shared" si="4"/>
        <v>0</v>
      </c>
      <c r="V46" s="5" t="str">
        <f t="shared" si="5"/>
        <v>无</v>
      </c>
      <c r="W46" s="5">
        <f t="shared" si="6"/>
        <v>1</v>
      </c>
    </row>
    <row r="47" spans="1:23" ht="17.25" customHeight="1">
      <c r="A47" s="1" t="s">
        <v>113</v>
      </c>
      <c r="B47" s="1" t="s">
        <v>20</v>
      </c>
      <c r="C47" s="1" t="s">
        <v>26</v>
      </c>
      <c r="D47" s="1" t="s">
        <v>27</v>
      </c>
      <c r="E47" s="6">
        <v>46236.628472222219</v>
      </c>
      <c r="F47" s="6">
        <v>46236.743055555555</v>
      </c>
      <c r="G47" s="6">
        <v>46237.625</v>
      </c>
      <c r="H47" s="6">
        <v>46237.602083333331</v>
      </c>
      <c r="I47" s="6">
        <v>46237.75</v>
      </c>
      <c r="J47" s="6">
        <v>46237.671527777777</v>
      </c>
      <c r="K47" s="1" t="s">
        <v>66</v>
      </c>
      <c r="L47" s="1" t="s">
        <v>34</v>
      </c>
      <c r="M47" s="6"/>
      <c r="N47" s="6"/>
      <c r="O47" s="1">
        <v>0</v>
      </c>
      <c r="P47" s="1">
        <v>5</v>
      </c>
      <c r="Q47" s="5">
        <f t="shared" si="0"/>
        <v>1</v>
      </c>
      <c r="R47" s="5">
        <f t="shared" si="1"/>
        <v>1</v>
      </c>
      <c r="S47" s="5">
        <f t="shared" si="2"/>
        <v>0</v>
      </c>
      <c r="T47" s="5">
        <f t="shared" si="3"/>
        <v>0</v>
      </c>
      <c r="U47" s="5">
        <f t="shared" si="4"/>
        <v>0</v>
      </c>
      <c r="V47" s="5" t="str">
        <f t="shared" si="5"/>
        <v>无</v>
      </c>
      <c r="W47" s="5">
        <f t="shared" si="6"/>
        <v>1</v>
      </c>
    </row>
    <row r="48" spans="1:23" ht="17.25" customHeight="1">
      <c r="A48" s="1" t="s">
        <v>114</v>
      </c>
      <c r="B48" s="1" t="s">
        <v>21</v>
      </c>
      <c r="C48" s="1" t="s">
        <v>26</v>
      </c>
      <c r="D48" s="1" t="s">
        <v>29</v>
      </c>
      <c r="E48" s="6">
        <v>46236.666666666664</v>
      </c>
      <c r="F48" s="6">
        <v>46236.75277777778</v>
      </c>
      <c r="G48" s="6">
        <v>46237.625</v>
      </c>
      <c r="H48" s="6">
        <v>46237.597916666666</v>
      </c>
      <c r="I48" s="6">
        <v>46237.75</v>
      </c>
      <c r="J48" s="6">
        <v>46237.690972222219</v>
      </c>
      <c r="K48" s="1" t="s">
        <v>66</v>
      </c>
      <c r="L48" s="1" t="s">
        <v>34</v>
      </c>
      <c r="M48" s="6"/>
      <c r="N48" s="6"/>
      <c r="O48" s="1">
        <v>0</v>
      </c>
      <c r="P48" s="1">
        <v>5</v>
      </c>
      <c r="Q48" s="5">
        <f t="shared" si="0"/>
        <v>1</v>
      </c>
      <c r="R48" s="5">
        <f t="shared" si="1"/>
        <v>1</v>
      </c>
      <c r="S48" s="5">
        <f t="shared" si="2"/>
        <v>0</v>
      </c>
      <c r="T48" s="5">
        <f t="shared" si="3"/>
        <v>0</v>
      </c>
      <c r="U48" s="5">
        <f t="shared" si="4"/>
        <v>0</v>
      </c>
      <c r="V48" s="5" t="str">
        <f t="shared" si="5"/>
        <v>无</v>
      </c>
      <c r="W48" s="5">
        <f t="shared" si="6"/>
        <v>1</v>
      </c>
    </row>
    <row r="49" spans="1:23" ht="17.25" customHeight="1">
      <c r="A49" s="1" t="s">
        <v>115</v>
      </c>
      <c r="B49" s="1" t="s">
        <v>20</v>
      </c>
      <c r="C49" s="1" t="s">
        <v>24</v>
      </c>
      <c r="D49" s="1" t="s">
        <v>28</v>
      </c>
      <c r="E49" s="6">
        <v>46236.739583333336</v>
      </c>
      <c r="F49" s="6">
        <v>46236.897916666669</v>
      </c>
      <c r="G49" s="6">
        <v>46237.5</v>
      </c>
      <c r="H49" s="6">
        <v>46237.464583333334</v>
      </c>
      <c r="I49" s="6">
        <v>46237.666666666664</v>
      </c>
      <c r="J49" s="6">
        <v>46237.556250000001</v>
      </c>
      <c r="K49" s="1" t="s">
        <v>66</v>
      </c>
      <c r="L49" s="1" t="s">
        <v>34</v>
      </c>
      <c r="M49" s="6"/>
      <c r="N49" s="6"/>
      <c r="O49" s="1">
        <v>0</v>
      </c>
      <c r="P49" s="1">
        <v>5</v>
      </c>
      <c r="Q49" s="5">
        <f t="shared" si="0"/>
        <v>1</v>
      </c>
      <c r="R49" s="5">
        <f t="shared" si="1"/>
        <v>1</v>
      </c>
      <c r="S49" s="5">
        <f t="shared" si="2"/>
        <v>0</v>
      </c>
      <c r="T49" s="5">
        <f t="shared" si="3"/>
        <v>0</v>
      </c>
      <c r="U49" s="5">
        <f t="shared" si="4"/>
        <v>0</v>
      </c>
      <c r="V49" s="5" t="str">
        <f t="shared" si="5"/>
        <v>无</v>
      </c>
      <c r="W49" s="5">
        <f t="shared" si="6"/>
        <v>1</v>
      </c>
    </row>
    <row r="50" spans="1:23" ht="17.25" customHeight="1">
      <c r="A50" s="1" t="s">
        <v>116</v>
      </c>
      <c r="B50" s="1" t="s">
        <v>20</v>
      </c>
      <c r="C50" s="1" t="s">
        <v>24</v>
      </c>
      <c r="D50" s="1" t="s">
        <v>28</v>
      </c>
      <c r="E50" s="6">
        <v>46236.767361111109</v>
      </c>
      <c r="F50" s="6">
        <v>46237.544444444444</v>
      </c>
      <c r="G50" s="6">
        <v>46237.5</v>
      </c>
      <c r="H50" s="6">
        <v>46237.599999999999</v>
      </c>
      <c r="I50" s="6">
        <v>46237.666666666664</v>
      </c>
      <c r="J50" s="6">
        <v>46237.663888888892</v>
      </c>
      <c r="K50" s="1" t="s">
        <v>66</v>
      </c>
      <c r="L50" s="1" t="s">
        <v>35</v>
      </c>
      <c r="M50" s="6">
        <v>46237.5</v>
      </c>
      <c r="N50" s="6">
        <v>46237.823611111111</v>
      </c>
      <c r="O50" s="1">
        <v>0</v>
      </c>
      <c r="P50" s="1">
        <v>3</v>
      </c>
      <c r="Q50" s="5">
        <f t="shared" si="0"/>
        <v>0</v>
      </c>
      <c r="R50" s="5">
        <f t="shared" si="1"/>
        <v>1</v>
      </c>
      <c r="S50" s="5">
        <f t="shared" si="2"/>
        <v>1</v>
      </c>
      <c r="T50" s="5">
        <f t="shared" si="3"/>
        <v>1</v>
      </c>
      <c r="U50" s="5">
        <f t="shared" si="4"/>
        <v>0</v>
      </c>
      <c r="V50" s="5" t="str">
        <f t="shared" si="5"/>
        <v>派单超时</v>
      </c>
      <c r="W50" s="5">
        <f t="shared" si="6"/>
        <v>1</v>
      </c>
    </row>
    <row r="51" spans="1:23" ht="17.25" customHeight="1">
      <c r="A51" s="1" t="s">
        <v>117</v>
      </c>
      <c r="B51" s="1" t="s">
        <v>20</v>
      </c>
      <c r="C51" s="1" t="s">
        <v>24</v>
      </c>
      <c r="D51" s="1" t="s">
        <v>28</v>
      </c>
      <c r="E51" s="6">
        <v>46236.774305555555</v>
      </c>
      <c r="F51" s="6">
        <v>46236.94027777778</v>
      </c>
      <c r="G51" s="6">
        <v>46237.708333333336</v>
      </c>
      <c r="H51" s="6">
        <v>46237.675000000003</v>
      </c>
      <c r="I51" s="6">
        <v>46237.875</v>
      </c>
      <c r="J51" s="6">
        <v>46237.904861111114</v>
      </c>
      <c r="K51" s="1" t="s">
        <v>66</v>
      </c>
      <c r="L51" s="1" t="s">
        <v>37</v>
      </c>
      <c r="M51" s="6">
        <v>46237.875</v>
      </c>
      <c r="N51" s="6"/>
      <c r="O51" s="1">
        <v>1</v>
      </c>
      <c r="P51" s="1">
        <v>1</v>
      </c>
      <c r="Q51" s="5">
        <f t="shared" si="0"/>
        <v>1</v>
      </c>
      <c r="R51" s="5">
        <f t="shared" si="1"/>
        <v>0</v>
      </c>
      <c r="S51" s="5">
        <f t="shared" si="2"/>
        <v>1</v>
      </c>
      <c r="T51" s="5">
        <f t="shared" si="3"/>
        <v>0</v>
      </c>
      <c r="U51" s="5">
        <f t="shared" si="4"/>
        <v>1</v>
      </c>
      <c r="V51" s="5" t="str">
        <f t="shared" si="5"/>
        <v>完工超时</v>
      </c>
      <c r="W51" s="5">
        <f t="shared" si="6"/>
        <v>1</v>
      </c>
    </row>
    <row r="52" spans="1:23" ht="17.25" customHeight="1">
      <c r="A52" s="1" t="s">
        <v>118</v>
      </c>
      <c r="B52" s="1" t="s">
        <v>22</v>
      </c>
      <c r="C52" s="1" t="s">
        <v>24</v>
      </c>
      <c r="D52" s="1" t="s">
        <v>32</v>
      </c>
      <c r="E52" s="6">
        <v>46236.788194444445</v>
      </c>
      <c r="F52" s="6">
        <v>46236.945138888892</v>
      </c>
      <c r="G52" s="6">
        <v>46237.625</v>
      </c>
      <c r="H52" s="6">
        <v>46237.601388888892</v>
      </c>
      <c r="I52" s="6">
        <v>46237.791666666664</v>
      </c>
      <c r="J52" s="6">
        <v>46237.645138888889</v>
      </c>
      <c r="K52" s="1" t="s">
        <v>66</v>
      </c>
      <c r="L52" s="1" t="s">
        <v>34</v>
      </c>
      <c r="M52" s="6"/>
      <c r="N52" s="6"/>
      <c r="O52" s="1">
        <v>0</v>
      </c>
      <c r="P52" s="1">
        <v>5</v>
      </c>
      <c r="Q52" s="5">
        <f t="shared" si="0"/>
        <v>1</v>
      </c>
      <c r="R52" s="5">
        <f t="shared" si="1"/>
        <v>1</v>
      </c>
      <c r="S52" s="5">
        <f t="shared" si="2"/>
        <v>0</v>
      </c>
      <c r="T52" s="5">
        <f t="shared" si="3"/>
        <v>0</v>
      </c>
      <c r="U52" s="5">
        <f t="shared" si="4"/>
        <v>0</v>
      </c>
      <c r="V52" s="5" t="str">
        <f t="shared" si="5"/>
        <v>无</v>
      </c>
      <c r="W52" s="5">
        <f t="shared" si="6"/>
        <v>1</v>
      </c>
    </row>
    <row r="53" spans="1:23" ht="17.25" customHeight="1">
      <c r="A53" s="1" t="s">
        <v>119</v>
      </c>
      <c r="B53" s="1" t="s">
        <v>21</v>
      </c>
      <c r="C53" s="1" t="s">
        <v>24</v>
      </c>
      <c r="D53" s="1" t="s">
        <v>30</v>
      </c>
      <c r="E53" s="6">
        <v>46236.788194444445</v>
      </c>
      <c r="F53" s="6">
        <v>46238.757638888892</v>
      </c>
      <c r="G53" s="6">
        <v>46238.708333333336</v>
      </c>
      <c r="H53" s="6">
        <v>46238.799305555556</v>
      </c>
      <c r="I53" s="6">
        <v>46238.875</v>
      </c>
      <c r="J53" s="6">
        <v>46238.854166666664</v>
      </c>
      <c r="K53" s="1" t="s">
        <v>66</v>
      </c>
      <c r="L53" s="1" t="s">
        <v>35</v>
      </c>
      <c r="M53" s="6">
        <v>46238.708333333336</v>
      </c>
      <c r="N53" s="6">
        <v>46239.054861111108</v>
      </c>
      <c r="O53" s="1">
        <v>0</v>
      </c>
      <c r="P53" s="1">
        <v>5</v>
      </c>
      <c r="Q53" s="5">
        <f t="shared" si="0"/>
        <v>0</v>
      </c>
      <c r="R53" s="5">
        <f t="shared" si="1"/>
        <v>1</v>
      </c>
      <c r="S53" s="5">
        <f t="shared" si="2"/>
        <v>1</v>
      </c>
      <c r="T53" s="5">
        <f t="shared" si="3"/>
        <v>1</v>
      </c>
      <c r="U53" s="5">
        <f t="shared" si="4"/>
        <v>0</v>
      </c>
      <c r="V53" s="5" t="str">
        <f t="shared" si="5"/>
        <v>派单超时</v>
      </c>
      <c r="W53" s="5">
        <f t="shared" si="6"/>
        <v>1</v>
      </c>
    </row>
    <row r="54" spans="1:23" ht="17.25" customHeight="1">
      <c r="A54" s="1" t="s">
        <v>120</v>
      </c>
      <c r="B54" s="1" t="s">
        <v>20</v>
      </c>
      <c r="C54" s="1" t="s">
        <v>24</v>
      </c>
      <c r="D54" s="1" t="s">
        <v>27</v>
      </c>
      <c r="E54" s="6">
        <v>46237.336805555555</v>
      </c>
      <c r="F54" s="6">
        <v>46237.450694444444</v>
      </c>
      <c r="G54" s="6">
        <v>46239.625</v>
      </c>
      <c r="H54" s="6">
        <v>46239.579861111109</v>
      </c>
      <c r="I54" s="6">
        <v>46239.791666666664</v>
      </c>
      <c r="J54" s="6">
        <v>46239.682638888888</v>
      </c>
      <c r="K54" s="1" t="s">
        <v>66</v>
      </c>
      <c r="L54" s="1" t="s">
        <v>34</v>
      </c>
      <c r="M54" s="6"/>
      <c r="N54" s="6"/>
      <c r="O54" s="1">
        <v>0</v>
      </c>
      <c r="P54" s="1">
        <v>4</v>
      </c>
      <c r="Q54" s="5">
        <f t="shared" si="0"/>
        <v>1</v>
      </c>
      <c r="R54" s="5">
        <f t="shared" si="1"/>
        <v>1</v>
      </c>
      <c r="S54" s="5">
        <f t="shared" si="2"/>
        <v>0</v>
      </c>
      <c r="T54" s="5">
        <f t="shared" si="3"/>
        <v>0</v>
      </c>
      <c r="U54" s="5">
        <f t="shared" si="4"/>
        <v>0</v>
      </c>
      <c r="V54" s="5" t="str">
        <f t="shared" si="5"/>
        <v>无</v>
      </c>
      <c r="W54" s="5">
        <f t="shared" si="6"/>
        <v>1</v>
      </c>
    </row>
    <row r="55" spans="1:23" ht="17.25" customHeight="1">
      <c r="A55" s="1" t="s">
        <v>121</v>
      </c>
      <c r="B55" s="1" t="s">
        <v>21</v>
      </c>
      <c r="C55" s="1" t="s">
        <v>26</v>
      </c>
      <c r="D55" s="1" t="s">
        <v>30</v>
      </c>
      <c r="E55" s="6">
        <v>46237.354166666664</v>
      </c>
      <c r="F55" s="6">
        <v>46237.450694444444</v>
      </c>
      <c r="G55" s="6">
        <v>46240.5</v>
      </c>
      <c r="H55" s="6">
        <v>46240.46597222222</v>
      </c>
      <c r="I55" s="6">
        <v>46240.625</v>
      </c>
      <c r="J55" s="6">
        <v>46240.550694444442</v>
      </c>
      <c r="K55" s="1" t="s">
        <v>66</v>
      </c>
      <c r="L55" s="1" t="s">
        <v>34</v>
      </c>
      <c r="M55" s="6"/>
      <c r="N55" s="6"/>
      <c r="O55" s="1">
        <v>0</v>
      </c>
      <c r="P55" s="1">
        <v>5</v>
      </c>
      <c r="Q55" s="5">
        <f t="shared" si="0"/>
        <v>1</v>
      </c>
      <c r="R55" s="5">
        <f t="shared" si="1"/>
        <v>1</v>
      </c>
      <c r="S55" s="5">
        <f t="shared" si="2"/>
        <v>0</v>
      </c>
      <c r="T55" s="5">
        <f t="shared" si="3"/>
        <v>0</v>
      </c>
      <c r="U55" s="5">
        <f t="shared" si="4"/>
        <v>0</v>
      </c>
      <c r="V55" s="5" t="str">
        <f t="shared" si="5"/>
        <v>无</v>
      </c>
      <c r="W55" s="5">
        <f t="shared" si="6"/>
        <v>1</v>
      </c>
    </row>
    <row r="56" spans="1:23" ht="17.25" customHeight="1">
      <c r="A56" s="1" t="s">
        <v>122</v>
      </c>
      <c r="B56" s="1" t="s">
        <v>20</v>
      </c>
      <c r="C56" s="1" t="s">
        <v>24</v>
      </c>
      <c r="D56" s="1" t="s">
        <v>27</v>
      </c>
      <c r="E56" s="6">
        <v>46237.364583333336</v>
      </c>
      <c r="F56" s="6">
        <v>46237.484722222223</v>
      </c>
      <c r="G56" s="6">
        <v>46239.416666666664</v>
      </c>
      <c r="H56" s="6">
        <v>46239.374305555553</v>
      </c>
      <c r="I56" s="6">
        <v>46239.583333333336</v>
      </c>
      <c r="J56" s="6">
        <v>46239.477083333331</v>
      </c>
      <c r="K56" s="1" t="s">
        <v>66</v>
      </c>
      <c r="L56" s="1" t="s">
        <v>34</v>
      </c>
      <c r="M56" s="6"/>
      <c r="N56" s="6"/>
      <c r="O56" s="1">
        <v>0</v>
      </c>
      <c r="P56" s="1">
        <v>4</v>
      </c>
      <c r="Q56" s="5">
        <f t="shared" si="0"/>
        <v>1</v>
      </c>
      <c r="R56" s="5">
        <f t="shared" si="1"/>
        <v>1</v>
      </c>
      <c r="S56" s="5">
        <f t="shared" si="2"/>
        <v>0</v>
      </c>
      <c r="T56" s="5">
        <f t="shared" si="3"/>
        <v>0</v>
      </c>
      <c r="U56" s="5">
        <f t="shared" si="4"/>
        <v>0</v>
      </c>
      <c r="V56" s="5" t="str">
        <f t="shared" si="5"/>
        <v>无</v>
      </c>
      <c r="W56" s="5">
        <f t="shared" si="6"/>
        <v>1</v>
      </c>
    </row>
    <row r="57" spans="1:23" ht="17.25" customHeight="1">
      <c r="A57" s="1" t="s">
        <v>123</v>
      </c>
      <c r="B57" s="1" t="s">
        <v>20</v>
      </c>
      <c r="C57" s="1" t="s">
        <v>25</v>
      </c>
      <c r="D57" s="1" t="s">
        <v>27</v>
      </c>
      <c r="E57" s="6">
        <v>46237.375</v>
      </c>
      <c r="F57" s="6">
        <v>46237.458333333336</v>
      </c>
      <c r="G57" s="6">
        <v>46238.5</v>
      </c>
      <c r="H57" s="6">
        <v>46238.457638888889</v>
      </c>
      <c r="I57" s="6">
        <v>46238.708333333336</v>
      </c>
      <c r="J57" s="6">
        <v>46238.529861111114</v>
      </c>
      <c r="K57" s="1" t="s">
        <v>66</v>
      </c>
      <c r="L57" s="1" t="s">
        <v>34</v>
      </c>
      <c r="M57" s="6"/>
      <c r="N57" s="6"/>
      <c r="O57" s="1">
        <v>0</v>
      </c>
      <c r="P57" s="1"/>
      <c r="Q57" s="5">
        <f t="shared" si="0"/>
        <v>1</v>
      </c>
      <c r="R57" s="5">
        <f t="shared" si="1"/>
        <v>1</v>
      </c>
      <c r="S57" s="5">
        <f t="shared" si="2"/>
        <v>0</v>
      </c>
      <c r="T57" s="5">
        <f t="shared" si="3"/>
        <v>0</v>
      </c>
      <c r="U57" s="5">
        <f t="shared" si="4"/>
        <v>0</v>
      </c>
      <c r="V57" s="5" t="str">
        <f t="shared" si="5"/>
        <v>无</v>
      </c>
      <c r="W57" s="5">
        <f t="shared" si="6"/>
        <v>1</v>
      </c>
    </row>
    <row r="58" spans="1:23" ht="17.25" customHeight="1">
      <c r="A58" s="1" t="s">
        <v>124</v>
      </c>
      <c r="B58" s="1" t="s">
        <v>21</v>
      </c>
      <c r="C58" s="1" t="s">
        <v>26</v>
      </c>
      <c r="D58" s="1" t="s">
        <v>30</v>
      </c>
      <c r="E58" s="6">
        <v>46237.381944444445</v>
      </c>
      <c r="F58" s="6">
        <v>46237.529166666667</v>
      </c>
      <c r="G58" s="6">
        <v>46239.625</v>
      </c>
      <c r="H58" s="6">
        <v>46239.586111111108</v>
      </c>
      <c r="I58" s="6">
        <v>46239.75</v>
      </c>
      <c r="J58" s="6">
        <v>46239.627083333333</v>
      </c>
      <c r="K58" s="1" t="s">
        <v>66</v>
      </c>
      <c r="L58" s="1" t="s">
        <v>34</v>
      </c>
      <c r="M58" s="6"/>
      <c r="N58" s="6"/>
      <c r="O58" s="1">
        <v>0</v>
      </c>
      <c r="P58" s="1">
        <v>5</v>
      </c>
      <c r="Q58" s="5">
        <f t="shared" si="0"/>
        <v>1</v>
      </c>
      <c r="R58" s="5">
        <f t="shared" si="1"/>
        <v>1</v>
      </c>
      <c r="S58" s="5">
        <f t="shared" si="2"/>
        <v>0</v>
      </c>
      <c r="T58" s="5">
        <f t="shared" si="3"/>
        <v>0</v>
      </c>
      <c r="U58" s="5">
        <f t="shared" si="4"/>
        <v>0</v>
      </c>
      <c r="V58" s="5" t="str">
        <f t="shared" si="5"/>
        <v>无</v>
      </c>
      <c r="W58" s="5">
        <f t="shared" si="6"/>
        <v>1</v>
      </c>
    </row>
    <row r="59" spans="1:23" ht="17.25" customHeight="1">
      <c r="A59" s="1" t="s">
        <v>125</v>
      </c>
      <c r="B59" s="1" t="s">
        <v>22</v>
      </c>
      <c r="C59" s="1" t="s">
        <v>25</v>
      </c>
      <c r="D59" s="1" t="s">
        <v>32</v>
      </c>
      <c r="E59" s="6">
        <v>46237.40625</v>
      </c>
      <c r="F59" s="6">
        <v>46237.428472222222</v>
      </c>
      <c r="G59" s="6">
        <v>46238.5</v>
      </c>
      <c r="H59" s="6">
        <v>46238.486111111109</v>
      </c>
      <c r="I59" s="6">
        <v>46238.708333333336</v>
      </c>
      <c r="J59" s="6">
        <v>46238.55</v>
      </c>
      <c r="K59" s="1" t="s">
        <v>66</v>
      </c>
      <c r="L59" s="1" t="s">
        <v>34</v>
      </c>
      <c r="M59" s="6"/>
      <c r="N59" s="6"/>
      <c r="O59" s="1">
        <v>0</v>
      </c>
      <c r="P59" s="1"/>
      <c r="Q59" s="5">
        <f t="shared" si="0"/>
        <v>1</v>
      </c>
      <c r="R59" s="5">
        <f t="shared" si="1"/>
        <v>1</v>
      </c>
      <c r="S59" s="5">
        <f t="shared" si="2"/>
        <v>0</v>
      </c>
      <c r="T59" s="5">
        <f t="shared" si="3"/>
        <v>0</v>
      </c>
      <c r="U59" s="5">
        <f t="shared" si="4"/>
        <v>0</v>
      </c>
      <c r="V59" s="5" t="str">
        <f t="shared" si="5"/>
        <v>无</v>
      </c>
      <c r="W59" s="5">
        <f t="shared" si="6"/>
        <v>1</v>
      </c>
    </row>
    <row r="60" spans="1:23" ht="17.25" customHeight="1">
      <c r="A60" s="1" t="s">
        <v>126</v>
      </c>
      <c r="B60" s="1" t="s">
        <v>22</v>
      </c>
      <c r="C60" s="1" t="s">
        <v>24</v>
      </c>
      <c r="D60" s="1" t="s">
        <v>32</v>
      </c>
      <c r="E60" s="6">
        <v>46237.40625</v>
      </c>
      <c r="F60" s="6">
        <v>46237.490972222222</v>
      </c>
      <c r="G60" s="6">
        <v>46240.708333333336</v>
      </c>
      <c r="H60" s="6">
        <v>46240.677083333336</v>
      </c>
      <c r="I60" s="6">
        <v>46240.875</v>
      </c>
      <c r="J60" s="6">
        <v>46240.736805555556</v>
      </c>
      <c r="K60" s="1" t="s">
        <v>66</v>
      </c>
      <c r="L60" s="1" t="s">
        <v>34</v>
      </c>
      <c r="M60" s="6"/>
      <c r="N60" s="6"/>
      <c r="O60" s="1">
        <v>0</v>
      </c>
      <c r="P60" s="1">
        <v>5</v>
      </c>
      <c r="Q60" s="5">
        <f t="shared" si="0"/>
        <v>1</v>
      </c>
      <c r="R60" s="5">
        <f t="shared" si="1"/>
        <v>1</v>
      </c>
      <c r="S60" s="5">
        <f t="shared" si="2"/>
        <v>0</v>
      </c>
      <c r="T60" s="5">
        <f t="shared" si="3"/>
        <v>0</v>
      </c>
      <c r="U60" s="5">
        <f t="shared" si="4"/>
        <v>0</v>
      </c>
      <c r="V60" s="5" t="str">
        <f t="shared" si="5"/>
        <v>无</v>
      </c>
      <c r="W60" s="5">
        <f t="shared" si="6"/>
        <v>1</v>
      </c>
    </row>
    <row r="61" spans="1:23" ht="17.25" customHeight="1">
      <c r="A61" s="1" t="s">
        <v>127</v>
      </c>
      <c r="B61" s="1" t="s">
        <v>20</v>
      </c>
      <c r="C61" s="1" t="s">
        <v>26</v>
      </c>
      <c r="D61" s="1" t="s">
        <v>28</v>
      </c>
      <c r="E61" s="6">
        <v>46237.447916666664</v>
      </c>
      <c r="F61" s="6">
        <v>46237.583333333336</v>
      </c>
      <c r="G61" s="6">
        <v>46239.625</v>
      </c>
      <c r="H61" s="6">
        <v>46239.611111111109</v>
      </c>
      <c r="I61" s="6">
        <v>46239.75</v>
      </c>
      <c r="J61" s="6">
        <v>46239.711111111108</v>
      </c>
      <c r="K61" s="1" t="s">
        <v>66</v>
      </c>
      <c r="L61" s="1" t="s">
        <v>34</v>
      </c>
      <c r="M61" s="6"/>
      <c r="N61" s="6"/>
      <c r="O61" s="1">
        <v>0</v>
      </c>
      <c r="P61" s="1">
        <v>3</v>
      </c>
      <c r="Q61" s="5">
        <f t="shared" si="0"/>
        <v>1</v>
      </c>
      <c r="R61" s="5">
        <f t="shared" si="1"/>
        <v>1</v>
      </c>
      <c r="S61" s="5">
        <f t="shared" si="2"/>
        <v>0</v>
      </c>
      <c r="T61" s="5">
        <f t="shared" si="3"/>
        <v>0</v>
      </c>
      <c r="U61" s="5">
        <f t="shared" si="4"/>
        <v>0</v>
      </c>
      <c r="V61" s="5" t="str">
        <f t="shared" si="5"/>
        <v>无</v>
      </c>
      <c r="W61" s="5">
        <f t="shared" si="6"/>
        <v>1</v>
      </c>
    </row>
    <row r="62" spans="1:23" ht="17.25" customHeight="1">
      <c r="A62" s="1" t="s">
        <v>128</v>
      </c>
      <c r="B62" s="1" t="s">
        <v>21</v>
      </c>
      <c r="C62" s="1" t="s">
        <v>24</v>
      </c>
      <c r="D62" s="1" t="s">
        <v>30</v>
      </c>
      <c r="E62" s="6">
        <v>46237.447916666664</v>
      </c>
      <c r="F62" s="6">
        <v>46237.607638888891</v>
      </c>
      <c r="G62" s="6">
        <v>46239.625</v>
      </c>
      <c r="H62" s="6">
        <v>46239.677083333336</v>
      </c>
      <c r="I62" s="6">
        <v>46239.791666666664</v>
      </c>
      <c r="J62" s="6">
        <v>46239.731249999997</v>
      </c>
      <c r="K62" s="1" t="s">
        <v>66</v>
      </c>
      <c r="L62" s="1" t="s">
        <v>36</v>
      </c>
      <c r="M62" s="6">
        <v>46239.625</v>
      </c>
      <c r="N62" s="6">
        <v>46239.905555555553</v>
      </c>
      <c r="O62" s="1">
        <v>0</v>
      </c>
      <c r="P62" s="1">
        <v>3</v>
      </c>
      <c r="Q62" s="5">
        <f t="shared" si="0"/>
        <v>0</v>
      </c>
      <c r="R62" s="5">
        <f t="shared" si="1"/>
        <v>1</v>
      </c>
      <c r="S62" s="5">
        <f t="shared" si="2"/>
        <v>1</v>
      </c>
      <c r="T62" s="5">
        <f t="shared" si="3"/>
        <v>1</v>
      </c>
      <c r="U62" s="5">
        <f t="shared" si="4"/>
        <v>0</v>
      </c>
      <c r="V62" s="5" t="str">
        <f t="shared" si="5"/>
        <v>上门超时</v>
      </c>
      <c r="W62" s="5">
        <f t="shared" si="6"/>
        <v>1</v>
      </c>
    </row>
    <row r="63" spans="1:23" ht="17.25" customHeight="1">
      <c r="A63" s="1" t="s">
        <v>129</v>
      </c>
      <c r="B63" s="1" t="s">
        <v>22</v>
      </c>
      <c r="C63" s="1" t="s">
        <v>24</v>
      </c>
      <c r="D63" s="1" t="s">
        <v>31</v>
      </c>
      <c r="E63" s="6">
        <v>46237.506944444445</v>
      </c>
      <c r="F63" s="6">
        <v>46237.537499999999</v>
      </c>
      <c r="G63" s="6">
        <v>46238.625</v>
      </c>
      <c r="H63" s="6">
        <v>46238.59652777778</v>
      </c>
      <c r="I63" s="6">
        <v>46238.791666666664</v>
      </c>
      <c r="J63" s="6">
        <v>46238.679166666669</v>
      </c>
      <c r="K63" s="1" t="s">
        <v>66</v>
      </c>
      <c r="L63" s="1" t="s">
        <v>34</v>
      </c>
      <c r="M63" s="6"/>
      <c r="N63" s="6"/>
      <c r="O63" s="1">
        <v>0</v>
      </c>
      <c r="P63" s="1">
        <v>3</v>
      </c>
      <c r="Q63" s="5">
        <f t="shared" si="0"/>
        <v>1</v>
      </c>
      <c r="R63" s="5">
        <f t="shared" si="1"/>
        <v>1</v>
      </c>
      <c r="S63" s="5">
        <f t="shared" si="2"/>
        <v>0</v>
      </c>
      <c r="T63" s="5">
        <f t="shared" si="3"/>
        <v>0</v>
      </c>
      <c r="U63" s="5">
        <f t="shared" si="4"/>
        <v>0</v>
      </c>
      <c r="V63" s="5" t="str">
        <f t="shared" si="5"/>
        <v>无</v>
      </c>
      <c r="W63" s="5">
        <f t="shared" si="6"/>
        <v>1</v>
      </c>
    </row>
    <row r="64" spans="1:23" ht="17.25" customHeight="1">
      <c r="A64" s="1" t="s">
        <v>130</v>
      </c>
      <c r="B64" s="1" t="s">
        <v>21</v>
      </c>
      <c r="C64" s="1" t="s">
        <v>24</v>
      </c>
      <c r="D64" s="1" t="s">
        <v>30</v>
      </c>
      <c r="E64" s="6">
        <v>46237.510416666664</v>
      </c>
      <c r="F64" s="6">
        <v>46237.647222222222</v>
      </c>
      <c r="G64" s="6">
        <v>46239.625</v>
      </c>
      <c r="H64" s="6">
        <v>46239.59097222222</v>
      </c>
      <c r="I64" s="6">
        <v>46239.791666666664</v>
      </c>
      <c r="J64" s="6">
        <v>46239.668055555558</v>
      </c>
      <c r="K64" s="1" t="s">
        <v>66</v>
      </c>
      <c r="L64" s="1" t="s">
        <v>34</v>
      </c>
      <c r="M64" s="6"/>
      <c r="N64" s="6"/>
      <c r="O64" s="1">
        <v>0</v>
      </c>
      <c r="P64" s="1">
        <v>4</v>
      </c>
      <c r="Q64" s="5">
        <f t="shared" si="0"/>
        <v>1</v>
      </c>
      <c r="R64" s="5">
        <f t="shared" si="1"/>
        <v>1</v>
      </c>
      <c r="S64" s="5">
        <f t="shared" si="2"/>
        <v>0</v>
      </c>
      <c r="T64" s="5">
        <f t="shared" si="3"/>
        <v>0</v>
      </c>
      <c r="U64" s="5">
        <f t="shared" si="4"/>
        <v>0</v>
      </c>
      <c r="V64" s="5" t="str">
        <f t="shared" si="5"/>
        <v>无</v>
      </c>
      <c r="W64" s="5">
        <f t="shared" si="6"/>
        <v>1</v>
      </c>
    </row>
    <row r="65" spans="1:23" ht="17.25" customHeight="1">
      <c r="A65" s="1" t="s">
        <v>131</v>
      </c>
      <c r="B65" s="1" t="s">
        <v>20</v>
      </c>
      <c r="C65" s="1" t="s">
        <v>25</v>
      </c>
      <c r="D65" s="1" t="s">
        <v>28</v>
      </c>
      <c r="E65" s="6">
        <v>46237.534722222219</v>
      </c>
      <c r="F65" s="6">
        <v>46237.665277777778</v>
      </c>
      <c r="G65" s="6">
        <v>46238.5</v>
      </c>
      <c r="H65" s="6">
        <v>46238.45208333333</v>
      </c>
      <c r="I65" s="6">
        <v>46238.708333333336</v>
      </c>
      <c r="J65" s="6">
        <v>46238.50277777778</v>
      </c>
      <c r="K65" s="1" t="s">
        <v>66</v>
      </c>
      <c r="L65" s="1" t="s">
        <v>34</v>
      </c>
      <c r="M65" s="6"/>
      <c r="N65" s="6"/>
      <c r="O65" s="1">
        <v>0</v>
      </c>
      <c r="P65" s="1">
        <v>4</v>
      </c>
      <c r="Q65" s="5">
        <f t="shared" si="0"/>
        <v>1</v>
      </c>
      <c r="R65" s="5">
        <f t="shared" si="1"/>
        <v>1</v>
      </c>
      <c r="S65" s="5">
        <f t="shared" si="2"/>
        <v>0</v>
      </c>
      <c r="T65" s="5">
        <f t="shared" si="3"/>
        <v>0</v>
      </c>
      <c r="U65" s="5">
        <f t="shared" si="4"/>
        <v>0</v>
      </c>
      <c r="V65" s="5" t="str">
        <f t="shared" si="5"/>
        <v>无</v>
      </c>
      <c r="W65" s="5">
        <f t="shared" si="6"/>
        <v>1</v>
      </c>
    </row>
    <row r="66" spans="1:23" ht="17.25" customHeight="1">
      <c r="A66" s="1" t="s">
        <v>132</v>
      </c>
      <c r="B66" s="1" t="s">
        <v>21</v>
      </c>
      <c r="C66" s="1" t="s">
        <v>25</v>
      </c>
      <c r="D66" s="1" t="s">
        <v>30</v>
      </c>
      <c r="E66" s="6">
        <v>46237.548611111109</v>
      </c>
      <c r="F66" s="6">
        <v>46237.706944444442</v>
      </c>
      <c r="G66" s="6">
        <v>46240.416666666664</v>
      </c>
      <c r="H66" s="6">
        <v>46240.4</v>
      </c>
      <c r="I66" s="6">
        <v>46240.625</v>
      </c>
      <c r="J66" s="6">
        <v>46240.739583333336</v>
      </c>
      <c r="K66" s="1" t="s">
        <v>66</v>
      </c>
      <c r="L66" s="1" t="s">
        <v>37</v>
      </c>
      <c r="M66" s="6">
        <v>46240.625</v>
      </c>
      <c r="N66" s="6">
        <v>46240.775000000001</v>
      </c>
      <c r="O66" s="1">
        <v>0</v>
      </c>
      <c r="P66" s="1"/>
      <c r="Q66" s="5">
        <f t="shared" ref="Q66:Q129" si="7">IF(AND(ISNUMBER(H66),H66&lt;=G66),1,0)</f>
        <v>1</v>
      </c>
      <c r="R66" s="5">
        <f t="shared" ref="R66:R129" si="8">IF(AND(ISNUMBER(J66),J66&lt;=I66),1,0)</f>
        <v>0</v>
      </c>
      <c r="S66" s="5">
        <f t="shared" ref="S66:S129" si="9">IF(V66="无",0,1)</f>
        <v>1</v>
      </c>
      <c r="T66" s="5">
        <f t="shared" ref="T66:T129" si="10">IF(AND(S66=1,ISNUMBER(N66)),1,0)</f>
        <v>1</v>
      </c>
      <c r="U66" s="5">
        <f t="shared" ref="U66:U129" si="11">IF(AND(S66=1,T66=0),1,0)</f>
        <v>0</v>
      </c>
      <c r="V66" s="5" t="str">
        <f t="shared" ref="V66:V129" si="12">IF(AND(ISNUMBER(F66),F66&lt;=G66),IF(AND(ISNUMBER(H66),H66&lt;=G66),IF(AND(ISNUMBER(J66),J66&lt;=I66),"无","完工超时"),"上门超时"),"派单超时")</f>
        <v>完工超时</v>
      </c>
      <c r="W66" s="5">
        <f t="shared" ref="W66:W129" si="13">IF(L66=V66,1,0)</f>
        <v>1</v>
      </c>
    </row>
    <row r="67" spans="1:23" ht="17.25" customHeight="1">
      <c r="A67" s="1" t="s">
        <v>133</v>
      </c>
      <c r="B67" s="1" t="s">
        <v>21</v>
      </c>
      <c r="C67" s="1" t="s">
        <v>25</v>
      </c>
      <c r="D67" s="1" t="s">
        <v>29</v>
      </c>
      <c r="E67" s="6">
        <v>46237.552083333336</v>
      </c>
      <c r="F67" s="6">
        <v>46237.620138888888</v>
      </c>
      <c r="G67" s="6">
        <v>46238.5</v>
      </c>
      <c r="H67" s="6">
        <v>46238.482638888891</v>
      </c>
      <c r="I67" s="6">
        <v>46238.708333333336</v>
      </c>
      <c r="J67" s="6">
        <v>46238.545138888891</v>
      </c>
      <c r="K67" s="1" t="s">
        <v>66</v>
      </c>
      <c r="L67" s="1" t="s">
        <v>34</v>
      </c>
      <c r="M67" s="6"/>
      <c r="N67" s="6"/>
      <c r="O67" s="1">
        <v>0</v>
      </c>
      <c r="P67" s="1">
        <v>5</v>
      </c>
      <c r="Q67" s="5">
        <f t="shared" si="7"/>
        <v>1</v>
      </c>
      <c r="R67" s="5">
        <f t="shared" si="8"/>
        <v>1</v>
      </c>
      <c r="S67" s="5">
        <f t="shared" si="9"/>
        <v>0</v>
      </c>
      <c r="T67" s="5">
        <f t="shared" si="10"/>
        <v>0</v>
      </c>
      <c r="U67" s="5">
        <f t="shared" si="11"/>
        <v>0</v>
      </c>
      <c r="V67" s="5" t="str">
        <f t="shared" si="12"/>
        <v>无</v>
      </c>
      <c r="W67" s="5">
        <f t="shared" si="13"/>
        <v>1</v>
      </c>
    </row>
    <row r="68" spans="1:23" ht="17.25" customHeight="1">
      <c r="A68" s="1" t="s">
        <v>134</v>
      </c>
      <c r="B68" s="1" t="s">
        <v>20</v>
      </c>
      <c r="C68" s="1" t="s">
        <v>24</v>
      </c>
      <c r="D68" s="1" t="s">
        <v>27</v>
      </c>
      <c r="E68" s="6">
        <v>46237.555555555555</v>
      </c>
      <c r="F68" s="6">
        <v>46237.652083333334</v>
      </c>
      <c r="G68" s="6">
        <v>46238.416666666664</v>
      </c>
      <c r="H68" s="6">
        <v>46238.457638888889</v>
      </c>
      <c r="I68" s="6">
        <v>46238.583333333336</v>
      </c>
      <c r="J68" s="6">
        <v>46238.54791666667</v>
      </c>
      <c r="K68" s="1" t="s">
        <v>66</v>
      </c>
      <c r="L68" s="1" t="s">
        <v>36</v>
      </c>
      <c r="M68" s="6">
        <v>46238.416666666664</v>
      </c>
      <c r="N68" s="6"/>
      <c r="O68" s="1">
        <v>0</v>
      </c>
      <c r="P68" s="1">
        <v>4</v>
      </c>
      <c r="Q68" s="5">
        <f t="shared" si="7"/>
        <v>0</v>
      </c>
      <c r="R68" s="5">
        <f t="shared" si="8"/>
        <v>1</v>
      </c>
      <c r="S68" s="5">
        <f t="shared" si="9"/>
        <v>1</v>
      </c>
      <c r="T68" s="5">
        <f t="shared" si="10"/>
        <v>0</v>
      </c>
      <c r="U68" s="5">
        <f t="shared" si="11"/>
        <v>1</v>
      </c>
      <c r="V68" s="5" t="str">
        <f t="shared" si="12"/>
        <v>上门超时</v>
      </c>
      <c r="W68" s="5">
        <f t="shared" si="13"/>
        <v>1</v>
      </c>
    </row>
    <row r="69" spans="1:23" ht="17.25" customHeight="1">
      <c r="A69" s="1" t="s">
        <v>135</v>
      </c>
      <c r="B69" s="1" t="s">
        <v>20</v>
      </c>
      <c r="C69" s="1" t="s">
        <v>25</v>
      </c>
      <c r="D69" s="1" t="s">
        <v>28</v>
      </c>
      <c r="E69" s="6">
        <v>46237.600694444445</v>
      </c>
      <c r="F69" s="6">
        <v>46237.751388888886</v>
      </c>
      <c r="G69" s="6">
        <v>46238.416666666664</v>
      </c>
      <c r="H69" s="6">
        <v>46238.409722222219</v>
      </c>
      <c r="I69" s="6">
        <v>46238.625</v>
      </c>
      <c r="J69" s="6">
        <v>46238.512499999997</v>
      </c>
      <c r="K69" s="1" t="s">
        <v>66</v>
      </c>
      <c r="L69" s="1" t="s">
        <v>34</v>
      </c>
      <c r="M69" s="6"/>
      <c r="N69" s="6"/>
      <c r="O69" s="1">
        <v>0</v>
      </c>
      <c r="P69" s="1"/>
      <c r="Q69" s="5">
        <f t="shared" si="7"/>
        <v>1</v>
      </c>
      <c r="R69" s="5">
        <f t="shared" si="8"/>
        <v>1</v>
      </c>
      <c r="S69" s="5">
        <f t="shared" si="9"/>
        <v>0</v>
      </c>
      <c r="T69" s="5">
        <f t="shared" si="10"/>
        <v>0</v>
      </c>
      <c r="U69" s="5">
        <f t="shared" si="11"/>
        <v>0</v>
      </c>
      <c r="V69" s="5" t="str">
        <f t="shared" si="12"/>
        <v>无</v>
      </c>
      <c r="W69" s="5">
        <f t="shared" si="13"/>
        <v>1</v>
      </c>
    </row>
    <row r="70" spans="1:23" ht="17.25" customHeight="1">
      <c r="A70" s="1" t="s">
        <v>136</v>
      </c>
      <c r="B70" s="1" t="s">
        <v>22</v>
      </c>
      <c r="C70" s="1" t="s">
        <v>26</v>
      </c>
      <c r="D70" s="1" t="s">
        <v>31</v>
      </c>
      <c r="E70" s="6">
        <v>46237.600694444445</v>
      </c>
      <c r="F70" s="6">
        <v>46237.755555555559</v>
      </c>
      <c r="G70" s="6">
        <v>46239.625</v>
      </c>
      <c r="H70" s="6">
        <v>46239.597222222219</v>
      </c>
      <c r="I70" s="6">
        <v>46239.75</v>
      </c>
      <c r="J70" s="6">
        <v>46239.663888888892</v>
      </c>
      <c r="K70" s="1" t="s">
        <v>66</v>
      </c>
      <c r="L70" s="1" t="s">
        <v>34</v>
      </c>
      <c r="M70" s="6"/>
      <c r="N70" s="6"/>
      <c r="O70" s="1">
        <v>0</v>
      </c>
      <c r="P70" s="1"/>
      <c r="Q70" s="5">
        <f t="shared" si="7"/>
        <v>1</v>
      </c>
      <c r="R70" s="5">
        <f t="shared" si="8"/>
        <v>1</v>
      </c>
      <c r="S70" s="5">
        <f t="shared" si="9"/>
        <v>0</v>
      </c>
      <c r="T70" s="5">
        <f t="shared" si="10"/>
        <v>0</v>
      </c>
      <c r="U70" s="5">
        <f t="shared" si="11"/>
        <v>0</v>
      </c>
      <c r="V70" s="5" t="str">
        <f t="shared" si="12"/>
        <v>无</v>
      </c>
      <c r="W70" s="5">
        <f t="shared" si="13"/>
        <v>1</v>
      </c>
    </row>
    <row r="71" spans="1:23" ht="17.25" customHeight="1">
      <c r="A71" s="1" t="s">
        <v>137</v>
      </c>
      <c r="B71" s="1" t="s">
        <v>22</v>
      </c>
      <c r="C71" s="1" t="s">
        <v>25</v>
      </c>
      <c r="D71" s="1" t="s">
        <v>32</v>
      </c>
      <c r="E71" s="6">
        <v>46237.618055555555</v>
      </c>
      <c r="F71" s="6">
        <v>46237.740972222222</v>
      </c>
      <c r="G71" s="6">
        <v>46238.5</v>
      </c>
      <c r="H71" s="6">
        <v>46238.479166666664</v>
      </c>
      <c r="I71" s="6">
        <v>46238.708333333336</v>
      </c>
      <c r="J71" s="6">
        <v>46238.567361111112</v>
      </c>
      <c r="K71" s="1" t="s">
        <v>66</v>
      </c>
      <c r="L71" s="1" t="s">
        <v>34</v>
      </c>
      <c r="M71" s="6"/>
      <c r="N71" s="6"/>
      <c r="O71" s="1">
        <v>0</v>
      </c>
      <c r="P71" s="1">
        <v>5</v>
      </c>
      <c r="Q71" s="5">
        <f t="shared" si="7"/>
        <v>1</v>
      </c>
      <c r="R71" s="5">
        <f t="shared" si="8"/>
        <v>1</v>
      </c>
      <c r="S71" s="5">
        <f t="shared" si="9"/>
        <v>0</v>
      </c>
      <c r="T71" s="5">
        <f t="shared" si="10"/>
        <v>0</v>
      </c>
      <c r="U71" s="5">
        <f t="shared" si="11"/>
        <v>0</v>
      </c>
      <c r="V71" s="5" t="str">
        <f t="shared" si="12"/>
        <v>无</v>
      </c>
      <c r="W71" s="5">
        <f t="shared" si="13"/>
        <v>1</v>
      </c>
    </row>
    <row r="72" spans="1:23" ht="17.25" customHeight="1">
      <c r="A72" s="1" t="s">
        <v>138</v>
      </c>
      <c r="B72" s="1" t="s">
        <v>20</v>
      </c>
      <c r="C72" s="1" t="s">
        <v>25</v>
      </c>
      <c r="D72" s="1" t="s">
        <v>28</v>
      </c>
      <c r="E72" s="6">
        <v>46237.628472222219</v>
      </c>
      <c r="F72" s="6">
        <v>46240.496527777781</v>
      </c>
      <c r="G72" s="6">
        <v>46240.416666666664</v>
      </c>
      <c r="H72" s="6">
        <v>46240.55</v>
      </c>
      <c r="I72" s="6">
        <v>46240.625</v>
      </c>
      <c r="J72" s="6">
        <v>46240.649305555555</v>
      </c>
      <c r="K72" s="1" t="s">
        <v>66</v>
      </c>
      <c r="L72" s="1" t="s">
        <v>35</v>
      </c>
      <c r="M72" s="6">
        <v>46240.416666666664</v>
      </c>
      <c r="N72" s="6">
        <v>46240.759027777778</v>
      </c>
      <c r="O72" s="1">
        <v>0</v>
      </c>
      <c r="P72" s="1">
        <v>2</v>
      </c>
      <c r="Q72" s="5">
        <f t="shared" si="7"/>
        <v>0</v>
      </c>
      <c r="R72" s="5">
        <f t="shared" si="8"/>
        <v>0</v>
      </c>
      <c r="S72" s="5">
        <f t="shared" si="9"/>
        <v>1</v>
      </c>
      <c r="T72" s="5">
        <f t="shared" si="10"/>
        <v>1</v>
      </c>
      <c r="U72" s="5">
        <f t="shared" si="11"/>
        <v>0</v>
      </c>
      <c r="V72" s="5" t="str">
        <f t="shared" si="12"/>
        <v>派单超时</v>
      </c>
      <c r="W72" s="5">
        <f t="shared" si="13"/>
        <v>1</v>
      </c>
    </row>
    <row r="73" spans="1:23" ht="17.25" customHeight="1">
      <c r="A73" s="1" t="s">
        <v>139</v>
      </c>
      <c r="B73" s="1" t="s">
        <v>20</v>
      </c>
      <c r="C73" s="1" t="s">
        <v>26</v>
      </c>
      <c r="D73" s="1" t="s">
        <v>28</v>
      </c>
      <c r="E73" s="6">
        <v>46237.631944444445</v>
      </c>
      <c r="F73" s="6">
        <v>46237.751388888886</v>
      </c>
      <c r="G73" s="6">
        <v>46238.416666666664</v>
      </c>
      <c r="H73" s="6">
        <v>46238.406944444447</v>
      </c>
      <c r="I73" s="6">
        <v>46238.541666666664</v>
      </c>
      <c r="J73" s="6">
        <v>46238.445833333331</v>
      </c>
      <c r="K73" s="1" t="s">
        <v>66</v>
      </c>
      <c r="L73" s="1" t="s">
        <v>34</v>
      </c>
      <c r="M73" s="6"/>
      <c r="N73" s="6"/>
      <c r="O73" s="1">
        <v>0</v>
      </c>
      <c r="P73" s="1"/>
      <c r="Q73" s="5">
        <f t="shared" si="7"/>
        <v>1</v>
      </c>
      <c r="R73" s="5">
        <f t="shared" si="8"/>
        <v>1</v>
      </c>
      <c r="S73" s="5">
        <f t="shared" si="9"/>
        <v>0</v>
      </c>
      <c r="T73" s="5">
        <f t="shared" si="10"/>
        <v>0</v>
      </c>
      <c r="U73" s="5">
        <f t="shared" si="11"/>
        <v>0</v>
      </c>
      <c r="V73" s="5" t="str">
        <f t="shared" si="12"/>
        <v>无</v>
      </c>
      <c r="W73" s="5">
        <f t="shared" si="13"/>
        <v>1</v>
      </c>
    </row>
    <row r="74" spans="1:23" ht="17.25" customHeight="1">
      <c r="A74" s="1" t="s">
        <v>140</v>
      </c>
      <c r="B74" s="1" t="s">
        <v>22</v>
      </c>
      <c r="C74" s="1" t="s">
        <v>25</v>
      </c>
      <c r="D74" s="1" t="s">
        <v>31</v>
      </c>
      <c r="E74" s="6">
        <v>46237.631944444445</v>
      </c>
      <c r="F74" s="6">
        <v>46237.673611111109</v>
      </c>
      <c r="G74" s="6">
        <v>46238.625</v>
      </c>
      <c r="H74" s="6">
        <v>46238.599305555559</v>
      </c>
      <c r="I74" s="6">
        <v>46238.833333333336</v>
      </c>
      <c r="J74" s="6">
        <v>46238.656944444447</v>
      </c>
      <c r="K74" s="1" t="s">
        <v>66</v>
      </c>
      <c r="L74" s="1" t="s">
        <v>34</v>
      </c>
      <c r="M74" s="6"/>
      <c r="N74" s="6"/>
      <c r="O74" s="1">
        <v>0</v>
      </c>
      <c r="P74" s="1">
        <v>4</v>
      </c>
      <c r="Q74" s="5">
        <f t="shared" si="7"/>
        <v>1</v>
      </c>
      <c r="R74" s="5">
        <f t="shared" si="8"/>
        <v>1</v>
      </c>
      <c r="S74" s="5">
        <f t="shared" si="9"/>
        <v>0</v>
      </c>
      <c r="T74" s="5">
        <f t="shared" si="10"/>
        <v>0</v>
      </c>
      <c r="U74" s="5">
        <f t="shared" si="11"/>
        <v>0</v>
      </c>
      <c r="V74" s="5" t="str">
        <f t="shared" si="12"/>
        <v>无</v>
      </c>
      <c r="W74" s="5">
        <f t="shared" si="13"/>
        <v>1</v>
      </c>
    </row>
    <row r="75" spans="1:23" ht="17.25" customHeight="1">
      <c r="A75" s="1" t="s">
        <v>141</v>
      </c>
      <c r="B75" s="1" t="s">
        <v>20</v>
      </c>
      <c r="C75" s="1" t="s">
        <v>24</v>
      </c>
      <c r="D75" s="1" t="s">
        <v>28</v>
      </c>
      <c r="E75" s="6">
        <v>46237.635416666664</v>
      </c>
      <c r="F75" s="6">
        <v>46237.747916666667</v>
      </c>
      <c r="G75" s="6">
        <v>46238.625</v>
      </c>
      <c r="H75" s="6">
        <v>46238.611111111109</v>
      </c>
      <c r="I75" s="6">
        <v>46238.791666666664</v>
      </c>
      <c r="J75" s="6"/>
      <c r="K75" s="1" t="s">
        <v>73</v>
      </c>
      <c r="L75" s="1" t="s">
        <v>37</v>
      </c>
      <c r="M75" s="6">
        <v>46238.791666666664</v>
      </c>
      <c r="N75" s="6"/>
      <c r="O75" s="1">
        <v>0</v>
      </c>
      <c r="P75" s="1"/>
      <c r="Q75" s="5">
        <f t="shared" si="7"/>
        <v>1</v>
      </c>
      <c r="R75" s="5">
        <f t="shared" si="8"/>
        <v>0</v>
      </c>
      <c r="S75" s="5">
        <f t="shared" si="9"/>
        <v>1</v>
      </c>
      <c r="T75" s="5">
        <f t="shared" si="10"/>
        <v>0</v>
      </c>
      <c r="U75" s="5">
        <f t="shared" si="11"/>
        <v>1</v>
      </c>
      <c r="V75" s="5" t="str">
        <f t="shared" si="12"/>
        <v>完工超时</v>
      </c>
      <c r="W75" s="5">
        <f t="shared" si="13"/>
        <v>1</v>
      </c>
    </row>
    <row r="76" spans="1:23" ht="17.25" customHeight="1">
      <c r="A76" s="1" t="s">
        <v>142</v>
      </c>
      <c r="B76" s="1" t="s">
        <v>22</v>
      </c>
      <c r="C76" s="1" t="s">
        <v>24</v>
      </c>
      <c r="D76" s="1" t="s">
        <v>32</v>
      </c>
      <c r="E76" s="6">
        <v>46237.638888888891</v>
      </c>
      <c r="F76" s="6">
        <v>46237.782638888886</v>
      </c>
      <c r="G76" s="6">
        <v>46239.708333333336</v>
      </c>
      <c r="H76" s="6">
        <v>46239.686805555553</v>
      </c>
      <c r="I76" s="6">
        <v>46239.875</v>
      </c>
      <c r="J76" s="6">
        <v>46239.790277777778</v>
      </c>
      <c r="K76" s="1" t="s">
        <v>66</v>
      </c>
      <c r="L76" s="1" t="s">
        <v>34</v>
      </c>
      <c r="M76" s="6"/>
      <c r="N76" s="6"/>
      <c r="O76" s="1">
        <v>1</v>
      </c>
      <c r="P76" s="1">
        <v>3</v>
      </c>
      <c r="Q76" s="5">
        <f t="shared" si="7"/>
        <v>1</v>
      </c>
      <c r="R76" s="5">
        <f t="shared" si="8"/>
        <v>1</v>
      </c>
      <c r="S76" s="5">
        <f t="shared" si="9"/>
        <v>0</v>
      </c>
      <c r="T76" s="5">
        <f t="shared" si="10"/>
        <v>0</v>
      </c>
      <c r="U76" s="5">
        <f t="shared" si="11"/>
        <v>0</v>
      </c>
      <c r="V76" s="5" t="str">
        <f t="shared" si="12"/>
        <v>无</v>
      </c>
      <c r="W76" s="5">
        <f t="shared" si="13"/>
        <v>1</v>
      </c>
    </row>
    <row r="77" spans="1:23" ht="17.25" customHeight="1">
      <c r="A77" s="1" t="s">
        <v>143</v>
      </c>
      <c r="B77" s="1" t="s">
        <v>22</v>
      </c>
      <c r="C77" s="1" t="s">
        <v>26</v>
      </c>
      <c r="D77" s="1" t="s">
        <v>31</v>
      </c>
      <c r="E77" s="6">
        <v>46237.701388888891</v>
      </c>
      <c r="F77" s="6">
        <v>46237.759027777778</v>
      </c>
      <c r="G77" s="6">
        <v>46239.5</v>
      </c>
      <c r="H77" s="6">
        <v>46239.456944444442</v>
      </c>
      <c r="I77" s="6">
        <v>46239.625</v>
      </c>
      <c r="J77" s="6">
        <v>46239.50277777778</v>
      </c>
      <c r="K77" s="1" t="s">
        <v>66</v>
      </c>
      <c r="L77" s="1" t="s">
        <v>34</v>
      </c>
      <c r="M77" s="6"/>
      <c r="N77" s="6"/>
      <c r="O77" s="1">
        <v>0</v>
      </c>
      <c r="P77" s="1">
        <v>4</v>
      </c>
      <c r="Q77" s="5">
        <f t="shared" si="7"/>
        <v>1</v>
      </c>
      <c r="R77" s="5">
        <f t="shared" si="8"/>
        <v>1</v>
      </c>
      <c r="S77" s="5">
        <f t="shared" si="9"/>
        <v>0</v>
      </c>
      <c r="T77" s="5">
        <f t="shared" si="10"/>
        <v>0</v>
      </c>
      <c r="U77" s="5">
        <f t="shared" si="11"/>
        <v>0</v>
      </c>
      <c r="V77" s="5" t="str">
        <f t="shared" si="12"/>
        <v>无</v>
      </c>
      <c r="W77" s="5">
        <f t="shared" si="13"/>
        <v>1</v>
      </c>
    </row>
    <row r="78" spans="1:23" ht="17.25" customHeight="1">
      <c r="A78" s="1" t="s">
        <v>144</v>
      </c>
      <c r="B78" s="1" t="s">
        <v>22</v>
      </c>
      <c r="C78" s="1" t="s">
        <v>25</v>
      </c>
      <c r="D78" s="1" t="s">
        <v>31</v>
      </c>
      <c r="E78" s="6">
        <v>46237.722222222219</v>
      </c>
      <c r="F78" s="6">
        <v>46237.745833333334</v>
      </c>
      <c r="G78" s="6">
        <v>46239.625</v>
      </c>
      <c r="H78" s="6">
        <v>46239.616666666669</v>
      </c>
      <c r="I78" s="6">
        <v>46239.833333333336</v>
      </c>
      <c r="J78" s="6">
        <v>46239.667361111111</v>
      </c>
      <c r="K78" s="1" t="s">
        <v>66</v>
      </c>
      <c r="L78" s="1" t="s">
        <v>34</v>
      </c>
      <c r="M78" s="6"/>
      <c r="N78" s="6"/>
      <c r="O78" s="1">
        <v>1</v>
      </c>
      <c r="P78" s="1">
        <v>2</v>
      </c>
      <c r="Q78" s="5">
        <f t="shared" si="7"/>
        <v>1</v>
      </c>
      <c r="R78" s="5">
        <f t="shared" si="8"/>
        <v>1</v>
      </c>
      <c r="S78" s="5">
        <f t="shared" si="9"/>
        <v>0</v>
      </c>
      <c r="T78" s="5">
        <f t="shared" si="10"/>
        <v>0</v>
      </c>
      <c r="U78" s="5">
        <f t="shared" si="11"/>
        <v>0</v>
      </c>
      <c r="V78" s="5" t="str">
        <f t="shared" si="12"/>
        <v>无</v>
      </c>
      <c r="W78" s="5">
        <f t="shared" si="13"/>
        <v>1</v>
      </c>
    </row>
    <row r="79" spans="1:23" ht="17.25" customHeight="1">
      <c r="A79" s="1" t="s">
        <v>145</v>
      </c>
      <c r="B79" s="1" t="s">
        <v>22</v>
      </c>
      <c r="C79" s="1" t="s">
        <v>26</v>
      </c>
      <c r="D79" s="1" t="s">
        <v>31</v>
      </c>
      <c r="E79" s="6">
        <v>46237.746527777781</v>
      </c>
      <c r="F79" s="6">
        <v>46237.895138888889</v>
      </c>
      <c r="G79" s="6">
        <v>46239.625</v>
      </c>
      <c r="H79" s="6">
        <v>46239.644444444442</v>
      </c>
      <c r="I79" s="6">
        <v>46239.75</v>
      </c>
      <c r="J79" s="6">
        <v>46239.741666666669</v>
      </c>
      <c r="K79" s="1" t="s">
        <v>66</v>
      </c>
      <c r="L79" s="1" t="s">
        <v>36</v>
      </c>
      <c r="M79" s="6">
        <v>46239.625</v>
      </c>
      <c r="N79" s="6">
        <v>46239.806944444441</v>
      </c>
      <c r="O79" s="1">
        <v>0</v>
      </c>
      <c r="P79" s="1">
        <v>4</v>
      </c>
      <c r="Q79" s="5">
        <f t="shared" si="7"/>
        <v>0</v>
      </c>
      <c r="R79" s="5">
        <f t="shared" si="8"/>
        <v>1</v>
      </c>
      <c r="S79" s="5">
        <f t="shared" si="9"/>
        <v>1</v>
      </c>
      <c r="T79" s="5">
        <f t="shared" si="10"/>
        <v>1</v>
      </c>
      <c r="U79" s="5">
        <f t="shared" si="11"/>
        <v>0</v>
      </c>
      <c r="V79" s="5" t="str">
        <f t="shared" si="12"/>
        <v>上门超时</v>
      </c>
      <c r="W79" s="5">
        <f t="shared" si="13"/>
        <v>1</v>
      </c>
    </row>
    <row r="80" spans="1:23" ht="17.25" customHeight="1">
      <c r="A80" s="1" t="s">
        <v>146</v>
      </c>
      <c r="B80" s="1" t="s">
        <v>20</v>
      </c>
      <c r="C80" s="1" t="s">
        <v>24</v>
      </c>
      <c r="D80" s="1" t="s">
        <v>27</v>
      </c>
      <c r="E80" s="6">
        <v>46237.756944444445</v>
      </c>
      <c r="F80" s="6">
        <v>46237.810416666667</v>
      </c>
      <c r="G80" s="6">
        <v>46238.416666666664</v>
      </c>
      <c r="H80" s="6">
        <v>46238.383333333331</v>
      </c>
      <c r="I80" s="6">
        <v>46238.583333333336</v>
      </c>
      <c r="J80" s="6">
        <v>46238.43472222222</v>
      </c>
      <c r="K80" s="1" t="s">
        <v>66</v>
      </c>
      <c r="L80" s="1" t="s">
        <v>34</v>
      </c>
      <c r="M80" s="6"/>
      <c r="N80" s="6"/>
      <c r="O80" s="1">
        <v>0</v>
      </c>
      <c r="P80" s="1"/>
      <c r="Q80" s="5">
        <f t="shared" si="7"/>
        <v>1</v>
      </c>
      <c r="R80" s="5">
        <f t="shared" si="8"/>
        <v>1</v>
      </c>
      <c r="S80" s="5">
        <f t="shared" si="9"/>
        <v>0</v>
      </c>
      <c r="T80" s="5">
        <f t="shared" si="10"/>
        <v>0</v>
      </c>
      <c r="U80" s="5">
        <f t="shared" si="11"/>
        <v>0</v>
      </c>
      <c r="V80" s="5" t="str">
        <f t="shared" si="12"/>
        <v>无</v>
      </c>
      <c r="W80" s="5">
        <f t="shared" si="13"/>
        <v>1</v>
      </c>
    </row>
    <row r="81" spans="1:23" ht="17.25" customHeight="1">
      <c r="A81" s="1" t="s">
        <v>147</v>
      </c>
      <c r="B81" s="1" t="s">
        <v>20</v>
      </c>
      <c r="C81" s="1" t="s">
        <v>25</v>
      </c>
      <c r="D81" s="1" t="s">
        <v>27</v>
      </c>
      <c r="E81" s="6">
        <v>46237.763888888891</v>
      </c>
      <c r="F81" s="6">
        <v>46237.837500000001</v>
      </c>
      <c r="G81" s="6">
        <v>46239.416666666664</v>
      </c>
      <c r="H81" s="6">
        <v>46239.472222222219</v>
      </c>
      <c r="I81" s="6">
        <v>46239.625</v>
      </c>
      <c r="J81" s="6">
        <v>46239.524305555555</v>
      </c>
      <c r="K81" s="1" t="s">
        <v>66</v>
      </c>
      <c r="L81" s="1" t="s">
        <v>36</v>
      </c>
      <c r="M81" s="6">
        <v>46239.416666666664</v>
      </c>
      <c r="N81" s="6">
        <v>46239.556250000001</v>
      </c>
      <c r="O81" s="1">
        <v>0</v>
      </c>
      <c r="P81" s="1">
        <v>4</v>
      </c>
      <c r="Q81" s="5">
        <f t="shared" si="7"/>
        <v>0</v>
      </c>
      <c r="R81" s="5">
        <f t="shared" si="8"/>
        <v>1</v>
      </c>
      <c r="S81" s="5">
        <f t="shared" si="9"/>
        <v>1</v>
      </c>
      <c r="T81" s="5">
        <f t="shared" si="10"/>
        <v>1</v>
      </c>
      <c r="U81" s="5">
        <f t="shared" si="11"/>
        <v>0</v>
      </c>
      <c r="V81" s="5" t="str">
        <f t="shared" si="12"/>
        <v>上门超时</v>
      </c>
      <c r="W81" s="5">
        <f t="shared" si="13"/>
        <v>1</v>
      </c>
    </row>
    <row r="82" spans="1:23" ht="17.25" customHeight="1">
      <c r="A82" s="1" t="s">
        <v>148</v>
      </c>
      <c r="B82" s="1" t="s">
        <v>20</v>
      </c>
      <c r="C82" s="1" t="s">
        <v>25</v>
      </c>
      <c r="D82" s="1" t="s">
        <v>27</v>
      </c>
      <c r="E82" s="6">
        <v>46238.333333333336</v>
      </c>
      <c r="F82" s="6">
        <v>46238.400694444441</v>
      </c>
      <c r="G82" s="6">
        <v>46239.625</v>
      </c>
      <c r="H82" s="6">
        <v>46239.598611111112</v>
      </c>
      <c r="I82" s="6">
        <v>46239.833333333336</v>
      </c>
      <c r="J82" s="6">
        <v>46239.648611111108</v>
      </c>
      <c r="K82" s="1" t="s">
        <v>66</v>
      </c>
      <c r="L82" s="1" t="s">
        <v>34</v>
      </c>
      <c r="M82" s="6"/>
      <c r="N82" s="6"/>
      <c r="O82" s="1">
        <v>0</v>
      </c>
      <c r="P82" s="1"/>
      <c r="Q82" s="5">
        <f t="shared" si="7"/>
        <v>1</v>
      </c>
      <c r="R82" s="5">
        <f t="shared" si="8"/>
        <v>1</v>
      </c>
      <c r="S82" s="5">
        <f t="shared" si="9"/>
        <v>0</v>
      </c>
      <c r="T82" s="5">
        <f t="shared" si="10"/>
        <v>0</v>
      </c>
      <c r="U82" s="5">
        <f t="shared" si="11"/>
        <v>0</v>
      </c>
      <c r="V82" s="5" t="str">
        <f t="shared" si="12"/>
        <v>无</v>
      </c>
      <c r="W82" s="5">
        <f t="shared" si="13"/>
        <v>1</v>
      </c>
    </row>
    <row r="83" spans="1:23" ht="17.25" customHeight="1">
      <c r="A83" s="1" t="s">
        <v>149</v>
      </c>
      <c r="B83" s="1" t="s">
        <v>21</v>
      </c>
      <c r="C83" s="1" t="s">
        <v>25</v>
      </c>
      <c r="D83" s="1" t="s">
        <v>29</v>
      </c>
      <c r="E83" s="6">
        <v>46238.340277777781</v>
      </c>
      <c r="F83" s="6">
        <v>46238.442361111112</v>
      </c>
      <c r="G83" s="6">
        <v>46241.625</v>
      </c>
      <c r="H83" s="6">
        <v>46241.582638888889</v>
      </c>
      <c r="I83" s="6">
        <v>46241.833333333336</v>
      </c>
      <c r="J83" s="6">
        <v>46241.643055555556</v>
      </c>
      <c r="K83" s="1" t="s">
        <v>66</v>
      </c>
      <c r="L83" s="1" t="s">
        <v>34</v>
      </c>
      <c r="M83" s="6"/>
      <c r="N83" s="6"/>
      <c r="O83" s="1">
        <v>0</v>
      </c>
      <c r="P83" s="1">
        <v>4</v>
      </c>
      <c r="Q83" s="5">
        <f t="shared" si="7"/>
        <v>1</v>
      </c>
      <c r="R83" s="5">
        <f t="shared" si="8"/>
        <v>1</v>
      </c>
      <c r="S83" s="5">
        <f t="shared" si="9"/>
        <v>0</v>
      </c>
      <c r="T83" s="5">
        <f t="shared" si="10"/>
        <v>0</v>
      </c>
      <c r="U83" s="5">
        <f t="shared" si="11"/>
        <v>0</v>
      </c>
      <c r="V83" s="5" t="str">
        <f t="shared" si="12"/>
        <v>无</v>
      </c>
      <c r="W83" s="5">
        <f t="shared" si="13"/>
        <v>1</v>
      </c>
    </row>
    <row r="84" spans="1:23" ht="17.25" customHeight="1">
      <c r="A84" s="1" t="s">
        <v>150</v>
      </c>
      <c r="B84" s="1" t="s">
        <v>21</v>
      </c>
      <c r="C84" s="1" t="s">
        <v>25</v>
      </c>
      <c r="D84" s="1" t="s">
        <v>30</v>
      </c>
      <c r="E84" s="6">
        <v>46238.385416666664</v>
      </c>
      <c r="F84" s="6">
        <v>46238.4375</v>
      </c>
      <c r="G84" s="6">
        <v>46239.416666666664</v>
      </c>
      <c r="H84" s="6">
        <v>46239.443055555559</v>
      </c>
      <c r="I84" s="6">
        <v>46239.625</v>
      </c>
      <c r="J84" s="6">
        <v>46239.490972222222</v>
      </c>
      <c r="K84" s="1" t="s">
        <v>66</v>
      </c>
      <c r="L84" s="1" t="s">
        <v>36</v>
      </c>
      <c r="M84" s="6">
        <v>46239.416666666664</v>
      </c>
      <c r="N84" s="6">
        <v>46239.619444444441</v>
      </c>
      <c r="O84" s="1">
        <v>1</v>
      </c>
      <c r="P84" s="1">
        <v>3</v>
      </c>
      <c r="Q84" s="5">
        <f t="shared" si="7"/>
        <v>0</v>
      </c>
      <c r="R84" s="5">
        <f t="shared" si="8"/>
        <v>1</v>
      </c>
      <c r="S84" s="5">
        <f t="shared" si="9"/>
        <v>1</v>
      </c>
      <c r="T84" s="5">
        <f t="shared" si="10"/>
        <v>1</v>
      </c>
      <c r="U84" s="5">
        <f t="shared" si="11"/>
        <v>0</v>
      </c>
      <c r="V84" s="5" t="str">
        <f t="shared" si="12"/>
        <v>上门超时</v>
      </c>
      <c r="W84" s="5">
        <f t="shared" si="13"/>
        <v>1</v>
      </c>
    </row>
    <row r="85" spans="1:23" ht="17.25" customHeight="1">
      <c r="A85" s="1" t="s">
        <v>151</v>
      </c>
      <c r="B85" s="1" t="s">
        <v>21</v>
      </c>
      <c r="C85" s="1" t="s">
        <v>25</v>
      </c>
      <c r="D85" s="1" t="s">
        <v>30</v>
      </c>
      <c r="E85" s="6">
        <v>46238.395833333336</v>
      </c>
      <c r="F85" s="6">
        <v>46238.459027777775</v>
      </c>
      <c r="G85" s="6">
        <v>46239.625</v>
      </c>
      <c r="H85" s="6">
        <v>46239.572916666664</v>
      </c>
      <c r="I85" s="6">
        <v>46239.833333333336</v>
      </c>
      <c r="J85" s="6">
        <v>46239.674305555556</v>
      </c>
      <c r="K85" s="1" t="s">
        <v>66</v>
      </c>
      <c r="L85" s="1" t="s">
        <v>34</v>
      </c>
      <c r="M85" s="6"/>
      <c r="N85" s="6"/>
      <c r="O85" s="1">
        <v>0</v>
      </c>
      <c r="P85" s="1">
        <v>4</v>
      </c>
      <c r="Q85" s="5">
        <f t="shared" si="7"/>
        <v>1</v>
      </c>
      <c r="R85" s="5">
        <f t="shared" si="8"/>
        <v>1</v>
      </c>
      <c r="S85" s="5">
        <f t="shared" si="9"/>
        <v>0</v>
      </c>
      <c r="T85" s="5">
        <f t="shared" si="10"/>
        <v>0</v>
      </c>
      <c r="U85" s="5">
        <f t="shared" si="11"/>
        <v>0</v>
      </c>
      <c r="V85" s="5" t="str">
        <f t="shared" si="12"/>
        <v>无</v>
      </c>
      <c r="W85" s="5">
        <f t="shared" si="13"/>
        <v>1</v>
      </c>
    </row>
    <row r="86" spans="1:23" ht="17.25" customHeight="1">
      <c r="A86" s="1" t="s">
        <v>152</v>
      </c>
      <c r="B86" s="1" t="s">
        <v>20</v>
      </c>
      <c r="C86" s="1" t="s">
        <v>24</v>
      </c>
      <c r="D86" s="1" t="s">
        <v>28</v>
      </c>
      <c r="E86" s="6">
        <v>46238.40625</v>
      </c>
      <c r="F86" s="6">
        <v>46238.436111111114</v>
      </c>
      <c r="G86" s="6">
        <v>46239.708333333336</v>
      </c>
      <c r="H86" s="6">
        <v>46239.689583333333</v>
      </c>
      <c r="I86" s="6">
        <v>46239.875</v>
      </c>
      <c r="J86" s="6">
        <v>46239.746527777781</v>
      </c>
      <c r="K86" s="1" t="s">
        <v>66</v>
      </c>
      <c r="L86" s="1" t="s">
        <v>34</v>
      </c>
      <c r="M86" s="6"/>
      <c r="N86" s="6"/>
      <c r="O86" s="1">
        <v>0</v>
      </c>
      <c r="P86" s="1">
        <v>3</v>
      </c>
      <c r="Q86" s="5">
        <f t="shared" si="7"/>
        <v>1</v>
      </c>
      <c r="R86" s="5">
        <f t="shared" si="8"/>
        <v>1</v>
      </c>
      <c r="S86" s="5">
        <f t="shared" si="9"/>
        <v>0</v>
      </c>
      <c r="T86" s="5">
        <f t="shared" si="10"/>
        <v>0</v>
      </c>
      <c r="U86" s="5">
        <f t="shared" si="11"/>
        <v>0</v>
      </c>
      <c r="V86" s="5" t="str">
        <f t="shared" si="12"/>
        <v>无</v>
      </c>
      <c r="W86" s="5">
        <f t="shared" si="13"/>
        <v>1</v>
      </c>
    </row>
    <row r="87" spans="1:23" ht="17.25" customHeight="1">
      <c r="A87" s="1" t="s">
        <v>153</v>
      </c>
      <c r="B87" s="1" t="s">
        <v>22</v>
      </c>
      <c r="C87" s="1" t="s">
        <v>25</v>
      </c>
      <c r="D87" s="1" t="s">
        <v>31</v>
      </c>
      <c r="E87" s="6">
        <v>46238.409722222219</v>
      </c>
      <c r="F87" s="6">
        <v>46238.55</v>
      </c>
      <c r="G87" s="6">
        <v>46239.625</v>
      </c>
      <c r="H87" s="6">
        <v>46239.612500000003</v>
      </c>
      <c r="I87" s="6">
        <v>46239.833333333336</v>
      </c>
      <c r="J87" s="6">
        <v>46239.697916666664</v>
      </c>
      <c r="K87" s="1" t="s">
        <v>66</v>
      </c>
      <c r="L87" s="1" t="s">
        <v>34</v>
      </c>
      <c r="M87" s="6"/>
      <c r="N87" s="6"/>
      <c r="O87" s="1">
        <v>0</v>
      </c>
      <c r="P87" s="1"/>
      <c r="Q87" s="5">
        <f t="shared" si="7"/>
        <v>1</v>
      </c>
      <c r="R87" s="5">
        <f t="shared" si="8"/>
        <v>1</v>
      </c>
      <c r="S87" s="5">
        <f t="shared" si="9"/>
        <v>0</v>
      </c>
      <c r="T87" s="5">
        <f t="shared" si="10"/>
        <v>0</v>
      </c>
      <c r="U87" s="5">
        <f t="shared" si="11"/>
        <v>0</v>
      </c>
      <c r="V87" s="5" t="str">
        <f t="shared" si="12"/>
        <v>无</v>
      </c>
      <c r="W87" s="5">
        <f t="shared" si="13"/>
        <v>1</v>
      </c>
    </row>
    <row r="88" spans="1:23" ht="17.25" customHeight="1">
      <c r="A88" s="1" t="s">
        <v>154</v>
      </c>
      <c r="B88" s="1" t="s">
        <v>20</v>
      </c>
      <c r="C88" s="1" t="s">
        <v>24</v>
      </c>
      <c r="D88" s="1" t="s">
        <v>27</v>
      </c>
      <c r="E88" s="6">
        <v>46238.451388888891</v>
      </c>
      <c r="F88" s="6">
        <v>46238.595833333333</v>
      </c>
      <c r="G88" s="6">
        <v>46239.708333333336</v>
      </c>
      <c r="H88" s="6">
        <v>46239.675000000003</v>
      </c>
      <c r="I88" s="6">
        <v>46239.875</v>
      </c>
      <c r="J88" s="6">
        <v>46239.760416666664</v>
      </c>
      <c r="K88" s="1" t="s">
        <v>66</v>
      </c>
      <c r="L88" s="1" t="s">
        <v>34</v>
      </c>
      <c r="M88" s="6"/>
      <c r="N88" s="6"/>
      <c r="O88" s="1">
        <v>0</v>
      </c>
      <c r="P88" s="1">
        <v>4</v>
      </c>
      <c r="Q88" s="5">
        <f t="shared" si="7"/>
        <v>1</v>
      </c>
      <c r="R88" s="5">
        <f t="shared" si="8"/>
        <v>1</v>
      </c>
      <c r="S88" s="5">
        <f t="shared" si="9"/>
        <v>0</v>
      </c>
      <c r="T88" s="5">
        <f t="shared" si="10"/>
        <v>0</v>
      </c>
      <c r="U88" s="5">
        <f t="shared" si="11"/>
        <v>0</v>
      </c>
      <c r="V88" s="5" t="str">
        <f t="shared" si="12"/>
        <v>无</v>
      </c>
      <c r="W88" s="5">
        <f t="shared" si="13"/>
        <v>1</v>
      </c>
    </row>
    <row r="89" spans="1:23" ht="17.25" customHeight="1">
      <c r="A89" s="1" t="s">
        <v>155</v>
      </c>
      <c r="B89" s="1" t="s">
        <v>22</v>
      </c>
      <c r="C89" s="1" t="s">
        <v>24</v>
      </c>
      <c r="D89" s="1" t="s">
        <v>31</v>
      </c>
      <c r="E89" s="6">
        <v>46238.454861111109</v>
      </c>
      <c r="F89" s="6">
        <v>46238.579861111109</v>
      </c>
      <c r="G89" s="6">
        <v>46239.5</v>
      </c>
      <c r="H89" s="6">
        <v>46239.448611111111</v>
      </c>
      <c r="I89" s="6">
        <v>46239.666666666664</v>
      </c>
      <c r="J89" s="6">
        <v>46239.48541666667</v>
      </c>
      <c r="K89" s="1" t="s">
        <v>66</v>
      </c>
      <c r="L89" s="1" t="s">
        <v>34</v>
      </c>
      <c r="M89" s="6"/>
      <c r="N89" s="6"/>
      <c r="O89" s="1">
        <v>0</v>
      </c>
      <c r="P89" s="1">
        <v>4</v>
      </c>
      <c r="Q89" s="5">
        <f t="shared" si="7"/>
        <v>1</v>
      </c>
      <c r="R89" s="5">
        <f t="shared" si="8"/>
        <v>1</v>
      </c>
      <c r="S89" s="5">
        <f t="shared" si="9"/>
        <v>0</v>
      </c>
      <c r="T89" s="5">
        <f t="shared" si="10"/>
        <v>0</v>
      </c>
      <c r="U89" s="5">
        <f t="shared" si="11"/>
        <v>0</v>
      </c>
      <c r="V89" s="5" t="str">
        <f t="shared" si="12"/>
        <v>无</v>
      </c>
      <c r="W89" s="5">
        <f t="shared" si="13"/>
        <v>1</v>
      </c>
    </row>
    <row r="90" spans="1:23" ht="17.25" customHeight="1">
      <c r="A90" s="1" t="s">
        <v>156</v>
      </c>
      <c r="B90" s="1" t="s">
        <v>20</v>
      </c>
      <c r="C90" s="1" t="s">
        <v>24</v>
      </c>
      <c r="D90" s="1" t="s">
        <v>28</v>
      </c>
      <c r="E90" s="6">
        <v>46238.461805555555</v>
      </c>
      <c r="F90" s="6">
        <v>46238.537499999999</v>
      </c>
      <c r="G90" s="6">
        <v>46240.708333333336</v>
      </c>
      <c r="H90" s="6">
        <v>46240.690972222219</v>
      </c>
      <c r="I90" s="6">
        <v>46240.875</v>
      </c>
      <c r="J90" s="6">
        <v>46240.753472222219</v>
      </c>
      <c r="K90" s="1" t="s">
        <v>66</v>
      </c>
      <c r="L90" s="1" t="s">
        <v>34</v>
      </c>
      <c r="M90" s="6"/>
      <c r="N90" s="6"/>
      <c r="O90" s="1">
        <v>0</v>
      </c>
      <c r="P90" s="1">
        <v>5</v>
      </c>
      <c r="Q90" s="5">
        <f t="shared" si="7"/>
        <v>1</v>
      </c>
      <c r="R90" s="5">
        <f t="shared" si="8"/>
        <v>1</v>
      </c>
      <c r="S90" s="5">
        <f t="shared" si="9"/>
        <v>0</v>
      </c>
      <c r="T90" s="5">
        <f t="shared" si="10"/>
        <v>0</v>
      </c>
      <c r="U90" s="5">
        <f t="shared" si="11"/>
        <v>0</v>
      </c>
      <c r="V90" s="5" t="str">
        <f t="shared" si="12"/>
        <v>无</v>
      </c>
      <c r="W90" s="5">
        <f t="shared" si="13"/>
        <v>1</v>
      </c>
    </row>
    <row r="91" spans="1:23" ht="17.25" customHeight="1">
      <c r="A91" s="1" t="s">
        <v>157</v>
      </c>
      <c r="B91" s="1" t="s">
        <v>20</v>
      </c>
      <c r="C91" s="1" t="s">
        <v>24</v>
      </c>
      <c r="D91" s="1" t="s">
        <v>28</v>
      </c>
      <c r="E91" s="6">
        <v>46238.479166666664</v>
      </c>
      <c r="F91" s="6">
        <v>46238.552777777775</v>
      </c>
      <c r="G91" s="6">
        <v>46239.5</v>
      </c>
      <c r="H91" s="6">
        <v>46239.470833333333</v>
      </c>
      <c r="I91" s="6">
        <v>46239.666666666664</v>
      </c>
      <c r="J91" s="6">
        <v>46239.558333333334</v>
      </c>
      <c r="K91" s="1" t="s">
        <v>66</v>
      </c>
      <c r="L91" s="1" t="s">
        <v>34</v>
      </c>
      <c r="M91" s="6"/>
      <c r="N91" s="6"/>
      <c r="O91" s="1">
        <v>0</v>
      </c>
      <c r="P91" s="1">
        <v>5</v>
      </c>
      <c r="Q91" s="5">
        <f t="shared" si="7"/>
        <v>1</v>
      </c>
      <c r="R91" s="5">
        <f t="shared" si="8"/>
        <v>1</v>
      </c>
      <c r="S91" s="5">
        <f t="shared" si="9"/>
        <v>0</v>
      </c>
      <c r="T91" s="5">
        <f t="shared" si="10"/>
        <v>0</v>
      </c>
      <c r="U91" s="5">
        <f t="shared" si="11"/>
        <v>0</v>
      </c>
      <c r="V91" s="5" t="str">
        <f t="shared" si="12"/>
        <v>无</v>
      </c>
      <c r="W91" s="5">
        <f t="shared" si="13"/>
        <v>1</v>
      </c>
    </row>
    <row r="92" spans="1:23" ht="17.25" customHeight="1">
      <c r="A92" s="1" t="s">
        <v>158</v>
      </c>
      <c r="B92" s="1" t="s">
        <v>22</v>
      </c>
      <c r="C92" s="1" t="s">
        <v>25</v>
      </c>
      <c r="D92" s="1" t="s">
        <v>31</v>
      </c>
      <c r="E92" s="6">
        <v>46238.489583333336</v>
      </c>
      <c r="F92" s="6">
        <v>46238.561111111114</v>
      </c>
      <c r="G92" s="6">
        <v>46241.708333333336</v>
      </c>
      <c r="H92" s="6">
        <v>46241.682638888888</v>
      </c>
      <c r="I92" s="6">
        <v>46241.916666666664</v>
      </c>
      <c r="J92" s="6">
        <v>46241.731944444444</v>
      </c>
      <c r="K92" s="1" t="s">
        <v>66</v>
      </c>
      <c r="L92" s="1" t="s">
        <v>34</v>
      </c>
      <c r="M92" s="6"/>
      <c r="N92" s="6"/>
      <c r="O92" s="1">
        <v>0</v>
      </c>
      <c r="P92" s="1">
        <v>5</v>
      </c>
      <c r="Q92" s="5">
        <f t="shared" si="7"/>
        <v>1</v>
      </c>
      <c r="R92" s="5">
        <f t="shared" si="8"/>
        <v>1</v>
      </c>
      <c r="S92" s="5">
        <f t="shared" si="9"/>
        <v>0</v>
      </c>
      <c r="T92" s="5">
        <f t="shared" si="10"/>
        <v>0</v>
      </c>
      <c r="U92" s="5">
        <f t="shared" si="11"/>
        <v>0</v>
      </c>
      <c r="V92" s="5" t="str">
        <f t="shared" si="12"/>
        <v>无</v>
      </c>
      <c r="W92" s="5">
        <f t="shared" si="13"/>
        <v>1</v>
      </c>
    </row>
    <row r="93" spans="1:23" ht="17.25" customHeight="1">
      <c r="A93" s="1" t="s">
        <v>159</v>
      </c>
      <c r="B93" s="1" t="s">
        <v>21</v>
      </c>
      <c r="C93" s="1" t="s">
        <v>25</v>
      </c>
      <c r="D93" s="1" t="s">
        <v>30</v>
      </c>
      <c r="E93" s="6">
        <v>46238.493055555555</v>
      </c>
      <c r="F93" s="6">
        <v>46238.524305555555</v>
      </c>
      <c r="G93" s="6">
        <v>46239.416666666664</v>
      </c>
      <c r="H93" s="6">
        <v>46239.443055555559</v>
      </c>
      <c r="I93" s="6">
        <v>46239.625</v>
      </c>
      <c r="J93" s="6">
        <v>46239.502083333333</v>
      </c>
      <c r="K93" s="1" t="s">
        <v>66</v>
      </c>
      <c r="L93" s="1" t="s">
        <v>36</v>
      </c>
      <c r="M93" s="6">
        <v>46239.416666666664</v>
      </c>
      <c r="N93" s="6"/>
      <c r="O93" s="1">
        <v>0</v>
      </c>
      <c r="P93" s="1"/>
      <c r="Q93" s="5">
        <f t="shared" si="7"/>
        <v>0</v>
      </c>
      <c r="R93" s="5">
        <f t="shared" si="8"/>
        <v>1</v>
      </c>
      <c r="S93" s="5">
        <f t="shared" si="9"/>
        <v>1</v>
      </c>
      <c r="T93" s="5">
        <f t="shared" si="10"/>
        <v>0</v>
      </c>
      <c r="U93" s="5">
        <f t="shared" si="11"/>
        <v>1</v>
      </c>
      <c r="V93" s="5" t="str">
        <f t="shared" si="12"/>
        <v>上门超时</v>
      </c>
      <c r="W93" s="5">
        <f t="shared" si="13"/>
        <v>1</v>
      </c>
    </row>
    <row r="94" spans="1:23" ht="17.25" customHeight="1">
      <c r="A94" s="1" t="s">
        <v>160</v>
      </c>
      <c r="B94" s="1" t="s">
        <v>21</v>
      </c>
      <c r="C94" s="1" t="s">
        <v>25</v>
      </c>
      <c r="D94" s="1" t="s">
        <v>30</v>
      </c>
      <c r="E94" s="6">
        <v>46238.506944444445</v>
      </c>
      <c r="F94" s="6">
        <v>46240.67291666667</v>
      </c>
      <c r="G94" s="6">
        <v>46240.625</v>
      </c>
      <c r="H94" s="6">
        <v>46240.711805555555</v>
      </c>
      <c r="I94" s="6">
        <v>46240.833333333336</v>
      </c>
      <c r="J94" s="6">
        <v>46240.773611111108</v>
      </c>
      <c r="K94" s="1" t="s">
        <v>66</v>
      </c>
      <c r="L94" s="1" t="s">
        <v>35</v>
      </c>
      <c r="M94" s="6">
        <v>46240.625</v>
      </c>
      <c r="N94" s="6"/>
      <c r="O94" s="1">
        <v>0</v>
      </c>
      <c r="P94" s="1">
        <v>3</v>
      </c>
      <c r="Q94" s="5">
        <f t="shared" si="7"/>
        <v>0</v>
      </c>
      <c r="R94" s="5">
        <f t="shared" si="8"/>
        <v>1</v>
      </c>
      <c r="S94" s="5">
        <f t="shared" si="9"/>
        <v>1</v>
      </c>
      <c r="T94" s="5">
        <f t="shared" si="10"/>
        <v>0</v>
      </c>
      <c r="U94" s="5">
        <f t="shared" si="11"/>
        <v>1</v>
      </c>
      <c r="V94" s="5" t="str">
        <f t="shared" si="12"/>
        <v>派单超时</v>
      </c>
      <c r="W94" s="5">
        <f t="shared" si="13"/>
        <v>1</v>
      </c>
    </row>
    <row r="95" spans="1:23" ht="17.25" customHeight="1">
      <c r="A95" s="1" t="s">
        <v>161</v>
      </c>
      <c r="B95" s="1" t="s">
        <v>21</v>
      </c>
      <c r="C95" s="1" t="s">
        <v>25</v>
      </c>
      <c r="D95" s="1" t="s">
        <v>30</v>
      </c>
      <c r="E95" s="6">
        <v>46238.510416666664</v>
      </c>
      <c r="F95" s="6">
        <v>46238.658333333333</v>
      </c>
      <c r="G95" s="6">
        <v>46239.416666666664</v>
      </c>
      <c r="H95" s="6">
        <v>46239.384722222225</v>
      </c>
      <c r="I95" s="6">
        <v>46239.625</v>
      </c>
      <c r="J95" s="6">
        <v>46239.428472222222</v>
      </c>
      <c r="K95" s="1" t="s">
        <v>66</v>
      </c>
      <c r="L95" s="1" t="s">
        <v>34</v>
      </c>
      <c r="M95" s="6"/>
      <c r="N95" s="6"/>
      <c r="O95" s="1">
        <v>0</v>
      </c>
      <c r="P95" s="1"/>
      <c r="Q95" s="5">
        <f t="shared" si="7"/>
        <v>1</v>
      </c>
      <c r="R95" s="5">
        <f t="shared" si="8"/>
        <v>1</v>
      </c>
      <c r="S95" s="5">
        <f t="shared" si="9"/>
        <v>0</v>
      </c>
      <c r="T95" s="5">
        <f t="shared" si="10"/>
        <v>0</v>
      </c>
      <c r="U95" s="5">
        <f t="shared" si="11"/>
        <v>0</v>
      </c>
      <c r="V95" s="5" t="str">
        <f t="shared" si="12"/>
        <v>无</v>
      </c>
      <c r="W95" s="5">
        <f t="shared" si="13"/>
        <v>1</v>
      </c>
    </row>
    <row r="96" spans="1:23" ht="17.25" customHeight="1">
      <c r="A96" s="1" t="s">
        <v>162</v>
      </c>
      <c r="B96" s="1" t="s">
        <v>21</v>
      </c>
      <c r="C96" s="1" t="s">
        <v>24</v>
      </c>
      <c r="D96" s="1" t="s">
        <v>29</v>
      </c>
      <c r="E96" s="6">
        <v>46238.513888888891</v>
      </c>
      <c r="F96" s="6">
        <v>46238.599305555559</v>
      </c>
      <c r="G96" s="6">
        <v>46239.708333333336</v>
      </c>
      <c r="H96" s="6">
        <v>46239.656944444447</v>
      </c>
      <c r="I96" s="6">
        <v>46239.875</v>
      </c>
      <c r="J96" s="6">
        <v>46239.746527777781</v>
      </c>
      <c r="K96" s="1" t="s">
        <v>66</v>
      </c>
      <c r="L96" s="1" t="s">
        <v>34</v>
      </c>
      <c r="M96" s="6"/>
      <c r="N96" s="6"/>
      <c r="O96" s="1">
        <v>0</v>
      </c>
      <c r="P96" s="1">
        <v>4</v>
      </c>
      <c r="Q96" s="5">
        <f t="shared" si="7"/>
        <v>1</v>
      </c>
      <c r="R96" s="5">
        <f t="shared" si="8"/>
        <v>1</v>
      </c>
      <c r="S96" s="5">
        <f t="shared" si="9"/>
        <v>0</v>
      </c>
      <c r="T96" s="5">
        <f t="shared" si="10"/>
        <v>0</v>
      </c>
      <c r="U96" s="5">
        <f t="shared" si="11"/>
        <v>0</v>
      </c>
      <c r="V96" s="5" t="str">
        <f t="shared" si="12"/>
        <v>无</v>
      </c>
      <c r="W96" s="5">
        <f t="shared" si="13"/>
        <v>1</v>
      </c>
    </row>
    <row r="97" spans="1:23" ht="17.25" customHeight="1">
      <c r="A97" s="1" t="s">
        <v>163</v>
      </c>
      <c r="B97" s="1" t="s">
        <v>20</v>
      </c>
      <c r="C97" s="1" t="s">
        <v>24</v>
      </c>
      <c r="D97" s="1" t="s">
        <v>28</v>
      </c>
      <c r="E97" s="6">
        <v>46238.524305555555</v>
      </c>
      <c r="F97" s="6">
        <v>46238.604166666664</v>
      </c>
      <c r="G97" s="6">
        <v>46240.625</v>
      </c>
      <c r="H97" s="6">
        <v>46240.581944444442</v>
      </c>
      <c r="I97" s="6">
        <v>46240.791666666664</v>
      </c>
      <c r="J97" s="6">
        <v>46240.674305555556</v>
      </c>
      <c r="K97" s="1" t="s">
        <v>66</v>
      </c>
      <c r="L97" s="1" t="s">
        <v>34</v>
      </c>
      <c r="M97" s="6"/>
      <c r="N97" s="6"/>
      <c r="O97" s="1">
        <v>0</v>
      </c>
      <c r="P97" s="1">
        <v>5</v>
      </c>
      <c r="Q97" s="5">
        <f t="shared" si="7"/>
        <v>1</v>
      </c>
      <c r="R97" s="5">
        <f t="shared" si="8"/>
        <v>1</v>
      </c>
      <c r="S97" s="5">
        <f t="shared" si="9"/>
        <v>0</v>
      </c>
      <c r="T97" s="5">
        <f t="shared" si="10"/>
        <v>0</v>
      </c>
      <c r="U97" s="5">
        <f t="shared" si="11"/>
        <v>0</v>
      </c>
      <c r="V97" s="5" t="str">
        <f t="shared" si="12"/>
        <v>无</v>
      </c>
      <c r="W97" s="5">
        <f t="shared" si="13"/>
        <v>1</v>
      </c>
    </row>
    <row r="98" spans="1:23" ht="17.25" customHeight="1">
      <c r="A98" s="1" t="s">
        <v>164</v>
      </c>
      <c r="B98" s="1" t="s">
        <v>20</v>
      </c>
      <c r="C98" s="1" t="s">
        <v>25</v>
      </c>
      <c r="D98" s="1" t="s">
        <v>28</v>
      </c>
      <c r="E98" s="6">
        <v>46238.53125</v>
      </c>
      <c r="F98" s="6">
        <v>46238.604166666664</v>
      </c>
      <c r="G98" s="6">
        <v>46240.416666666664</v>
      </c>
      <c r="H98" s="6">
        <v>46240.372916666667</v>
      </c>
      <c r="I98" s="6">
        <v>46240.625</v>
      </c>
      <c r="J98" s="6">
        <v>46240.431250000001</v>
      </c>
      <c r="K98" s="1" t="s">
        <v>66</v>
      </c>
      <c r="L98" s="1" t="s">
        <v>34</v>
      </c>
      <c r="M98" s="6"/>
      <c r="N98" s="6"/>
      <c r="O98" s="1">
        <v>0</v>
      </c>
      <c r="P98" s="1">
        <v>5</v>
      </c>
      <c r="Q98" s="5">
        <f t="shared" si="7"/>
        <v>1</v>
      </c>
      <c r="R98" s="5">
        <f t="shared" si="8"/>
        <v>1</v>
      </c>
      <c r="S98" s="5">
        <f t="shared" si="9"/>
        <v>0</v>
      </c>
      <c r="T98" s="5">
        <f t="shared" si="10"/>
        <v>0</v>
      </c>
      <c r="U98" s="5">
        <f t="shared" si="11"/>
        <v>0</v>
      </c>
      <c r="V98" s="5" t="str">
        <f t="shared" si="12"/>
        <v>无</v>
      </c>
      <c r="W98" s="5">
        <f t="shared" si="13"/>
        <v>1</v>
      </c>
    </row>
    <row r="99" spans="1:23" ht="17.25" customHeight="1">
      <c r="A99" s="1" t="s">
        <v>165</v>
      </c>
      <c r="B99" s="1" t="s">
        <v>21</v>
      </c>
      <c r="C99" s="1" t="s">
        <v>24</v>
      </c>
      <c r="D99" s="1" t="s">
        <v>29</v>
      </c>
      <c r="E99" s="6">
        <v>46238.53125</v>
      </c>
      <c r="F99" s="6">
        <v>46238.658333333333</v>
      </c>
      <c r="G99" s="6">
        <v>46239.708333333336</v>
      </c>
      <c r="H99" s="6">
        <v>46239.698611111111</v>
      </c>
      <c r="I99" s="6">
        <v>46239.875</v>
      </c>
      <c r="J99" s="6">
        <v>46239.797222222223</v>
      </c>
      <c r="K99" s="1" t="s">
        <v>66</v>
      </c>
      <c r="L99" s="1" t="s">
        <v>34</v>
      </c>
      <c r="M99" s="6"/>
      <c r="N99" s="6"/>
      <c r="O99" s="1">
        <v>0</v>
      </c>
      <c r="P99" s="1">
        <v>5</v>
      </c>
      <c r="Q99" s="5">
        <f t="shared" si="7"/>
        <v>1</v>
      </c>
      <c r="R99" s="5">
        <f t="shared" si="8"/>
        <v>1</v>
      </c>
      <c r="S99" s="5">
        <f t="shared" si="9"/>
        <v>0</v>
      </c>
      <c r="T99" s="5">
        <f t="shared" si="10"/>
        <v>0</v>
      </c>
      <c r="U99" s="5">
        <f t="shared" si="11"/>
        <v>0</v>
      </c>
      <c r="V99" s="5" t="str">
        <f t="shared" si="12"/>
        <v>无</v>
      </c>
      <c r="W99" s="5">
        <f t="shared" si="13"/>
        <v>1</v>
      </c>
    </row>
    <row r="100" spans="1:23" ht="17.25" customHeight="1">
      <c r="A100" s="1" t="s">
        <v>166</v>
      </c>
      <c r="B100" s="1" t="s">
        <v>22</v>
      </c>
      <c r="C100" s="1" t="s">
        <v>24</v>
      </c>
      <c r="D100" s="1" t="s">
        <v>32</v>
      </c>
      <c r="E100" s="6">
        <v>46238.534722222219</v>
      </c>
      <c r="F100" s="6">
        <v>46238.679166666669</v>
      </c>
      <c r="G100" s="6">
        <v>46240.416666666664</v>
      </c>
      <c r="H100" s="6">
        <v>46240.407638888886</v>
      </c>
      <c r="I100" s="6">
        <v>46240.583333333336</v>
      </c>
      <c r="J100" s="6">
        <v>46240.484722222223</v>
      </c>
      <c r="K100" s="1" t="s">
        <v>66</v>
      </c>
      <c r="L100" s="1" t="s">
        <v>34</v>
      </c>
      <c r="M100" s="6"/>
      <c r="N100" s="6"/>
      <c r="O100" s="1">
        <v>0</v>
      </c>
      <c r="P100" s="1">
        <v>5</v>
      </c>
      <c r="Q100" s="5">
        <f t="shared" si="7"/>
        <v>1</v>
      </c>
      <c r="R100" s="5">
        <f t="shared" si="8"/>
        <v>1</v>
      </c>
      <c r="S100" s="5">
        <f t="shared" si="9"/>
        <v>0</v>
      </c>
      <c r="T100" s="5">
        <f t="shared" si="10"/>
        <v>0</v>
      </c>
      <c r="U100" s="5">
        <f t="shared" si="11"/>
        <v>0</v>
      </c>
      <c r="V100" s="5" t="str">
        <f t="shared" si="12"/>
        <v>无</v>
      </c>
      <c r="W100" s="5">
        <f t="shared" si="13"/>
        <v>1</v>
      </c>
    </row>
    <row r="101" spans="1:23" ht="17.25" customHeight="1">
      <c r="A101" s="1" t="s">
        <v>167</v>
      </c>
      <c r="B101" s="1" t="s">
        <v>22</v>
      </c>
      <c r="C101" s="1" t="s">
        <v>24</v>
      </c>
      <c r="D101" s="1" t="s">
        <v>32</v>
      </c>
      <c r="E101" s="6">
        <v>46238.569444444445</v>
      </c>
      <c r="F101" s="6">
        <v>46238.68472222222</v>
      </c>
      <c r="G101" s="6">
        <v>46239.625</v>
      </c>
      <c r="H101" s="6">
        <v>46239.585416666669</v>
      </c>
      <c r="I101" s="6">
        <v>46239.791666666664</v>
      </c>
      <c r="J101" s="6">
        <v>46239.650694444441</v>
      </c>
      <c r="K101" s="1" t="s">
        <v>66</v>
      </c>
      <c r="L101" s="1" t="s">
        <v>34</v>
      </c>
      <c r="M101" s="6"/>
      <c r="N101" s="6"/>
      <c r="O101" s="1">
        <v>0</v>
      </c>
      <c r="P101" s="1">
        <v>4</v>
      </c>
      <c r="Q101" s="5">
        <f t="shared" si="7"/>
        <v>1</v>
      </c>
      <c r="R101" s="5">
        <f t="shared" si="8"/>
        <v>1</v>
      </c>
      <c r="S101" s="5">
        <f t="shared" si="9"/>
        <v>0</v>
      </c>
      <c r="T101" s="5">
        <f t="shared" si="10"/>
        <v>0</v>
      </c>
      <c r="U101" s="5">
        <f t="shared" si="11"/>
        <v>0</v>
      </c>
      <c r="V101" s="5" t="str">
        <f t="shared" si="12"/>
        <v>无</v>
      </c>
      <c r="W101" s="5">
        <f t="shared" si="13"/>
        <v>1</v>
      </c>
    </row>
    <row r="102" spans="1:23" ht="17.25" customHeight="1">
      <c r="A102" s="1" t="s">
        <v>168</v>
      </c>
      <c r="B102" s="1" t="s">
        <v>22</v>
      </c>
      <c r="C102" s="1" t="s">
        <v>25</v>
      </c>
      <c r="D102" s="1" t="s">
        <v>32</v>
      </c>
      <c r="E102" s="6">
        <v>46238.649305555555</v>
      </c>
      <c r="F102" s="6">
        <v>46238.672222222223</v>
      </c>
      <c r="G102" s="6">
        <v>46240.5</v>
      </c>
      <c r="H102" s="6">
        <v>46240.466666666667</v>
      </c>
      <c r="I102" s="6">
        <v>46240.708333333336</v>
      </c>
      <c r="J102" s="6">
        <v>46240.561805555553</v>
      </c>
      <c r="K102" s="1" t="s">
        <v>66</v>
      </c>
      <c r="L102" s="1" t="s">
        <v>34</v>
      </c>
      <c r="M102" s="6"/>
      <c r="N102" s="6"/>
      <c r="O102" s="1">
        <v>0</v>
      </c>
      <c r="P102" s="1"/>
      <c r="Q102" s="5">
        <f t="shared" si="7"/>
        <v>1</v>
      </c>
      <c r="R102" s="5">
        <f t="shared" si="8"/>
        <v>1</v>
      </c>
      <c r="S102" s="5">
        <f t="shared" si="9"/>
        <v>0</v>
      </c>
      <c r="T102" s="5">
        <f t="shared" si="10"/>
        <v>0</v>
      </c>
      <c r="U102" s="5">
        <f t="shared" si="11"/>
        <v>0</v>
      </c>
      <c r="V102" s="5" t="str">
        <f t="shared" si="12"/>
        <v>无</v>
      </c>
      <c r="W102" s="5">
        <f t="shared" si="13"/>
        <v>1</v>
      </c>
    </row>
    <row r="103" spans="1:23" ht="17.25" customHeight="1">
      <c r="A103" s="1" t="s">
        <v>169</v>
      </c>
      <c r="B103" s="1" t="s">
        <v>21</v>
      </c>
      <c r="C103" s="1" t="s">
        <v>24</v>
      </c>
      <c r="D103" s="1" t="s">
        <v>29</v>
      </c>
      <c r="E103" s="6">
        <v>46238.708333333336</v>
      </c>
      <c r="F103" s="6">
        <v>46238.734722222223</v>
      </c>
      <c r="G103" s="6">
        <v>46240.625</v>
      </c>
      <c r="H103" s="6">
        <v>46240.57708333333</v>
      </c>
      <c r="I103" s="6">
        <v>46240.791666666664</v>
      </c>
      <c r="J103" s="6">
        <v>46240.652083333334</v>
      </c>
      <c r="K103" s="1" t="s">
        <v>66</v>
      </c>
      <c r="L103" s="1" t="s">
        <v>34</v>
      </c>
      <c r="M103" s="6"/>
      <c r="N103" s="6"/>
      <c r="O103" s="1">
        <v>0</v>
      </c>
      <c r="P103" s="1">
        <v>5</v>
      </c>
      <c r="Q103" s="5">
        <f t="shared" si="7"/>
        <v>1</v>
      </c>
      <c r="R103" s="5">
        <f t="shared" si="8"/>
        <v>1</v>
      </c>
      <c r="S103" s="5">
        <f t="shared" si="9"/>
        <v>0</v>
      </c>
      <c r="T103" s="5">
        <f t="shared" si="10"/>
        <v>0</v>
      </c>
      <c r="U103" s="5">
        <f t="shared" si="11"/>
        <v>0</v>
      </c>
      <c r="V103" s="5" t="str">
        <f t="shared" si="12"/>
        <v>无</v>
      </c>
      <c r="W103" s="5">
        <f t="shared" si="13"/>
        <v>1</v>
      </c>
    </row>
    <row r="104" spans="1:23" ht="17.25" customHeight="1">
      <c r="A104" s="1" t="s">
        <v>170</v>
      </c>
      <c r="B104" s="1" t="s">
        <v>22</v>
      </c>
      <c r="C104" s="1" t="s">
        <v>24</v>
      </c>
      <c r="D104" s="1" t="s">
        <v>31</v>
      </c>
      <c r="E104" s="6">
        <v>46238.722222222219</v>
      </c>
      <c r="F104" s="6"/>
      <c r="G104" s="6">
        <v>46241.416666666664</v>
      </c>
      <c r="H104" s="6"/>
      <c r="I104" s="6">
        <v>46241.583333333336</v>
      </c>
      <c r="J104" s="6"/>
      <c r="K104" s="1" t="s">
        <v>73</v>
      </c>
      <c r="L104" s="1" t="s">
        <v>35</v>
      </c>
      <c r="M104" s="6">
        <v>46241.416666666664</v>
      </c>
      <c r="N104" s="6"/>
      <c r="O104" s="1">
        <v>1</v>
      </c>
      <c r="P104" s="1"/>
      <c r="Q104" s="5">
        <f t="shared" si="7"/>
        <v>0</v>
      </c>
      <c r="R104" s="5">
        <f t="shared" si="8"/>
        <v>0</v>
      </c>
      <c r="S104" s="5">
        <f t="shared" si="9"/>
        <v>1</v>
      </c>
      <c r="T104" s="5">
        <f t="shared" si="10"/>
        <v>0</v>
      </c>
      <c r="U104" s="5">
        <f t="shared" si="11"/>
        <v>1</v>
      </c>
      <c r="V104" s="5" t="str">
        <f t="shared" si="12"/>
        <v>派单超时</v>
      </c>
      <c r="W104" s="5">
        <f t="shared" si="13"/>
        <v>1</v>
      </c>
    </row>
    <row r="105" spans="1:23" ht="17.25" customHeight="1">
      <c r="A105" s="1" t="s">
        <v>171</v>
      </c>
      <c r="B105" s="1" t="s">
        <v>20</v>
      </c>
      <c r="C105" s="1" t="s">
        <v>25</v>
      </c>
      <c r="D105" s="1" t="s">
        <v>28</v>
      </c>
      <c r="E105" s="6">
        <v>46238.756944444445</v>
      </c>
      <c r="F105" s="6">
        <v>46238.836805555555</v>
      </c>
      <c r="G105" s="6">
        <v>46239.625</v>
      </c>
      <c r="H105" s="6">
        <v>46239.581250000003</v>
      </c>
      <c r="I105" s="6">
        <v>46239.833333333336</v>
      </c>
      <c r="J105" s="6">
        <v>46239.884027777778</v>
      </c>
      <c r="K105" s="1" t="s">
        <v>66</v>
      </c>
      <c r="L105" s="1" t="s">
        <v>37</v>
      </c>
      <c r="M105" s="6">
        <v>46239.833333333336</v>
      </c>
      <c r="N105" s="6">
        <v>46240.022916666669</v>
      </c>
      <c r="O105" s="1">
        <v>0</v>
      </c>
      <c r="P105" s="1">
        <v>4</v>
      </c>
      <c r="Q105" s="5">
        <f t="shared" si="7"/>
        <v>1</v>
      </c>
      <c r="R105" s="5">
        <f t="shared" si="8"/>
        <v>0</v>
      </c>
      <c r="S105" s="5">
        <f t="shared" si="9"/>
        <v>1</v>
      </c>
      <c r="T105" s="5">
        <f t="shared" si="10"/>
        <v>1</v>
      </c>
      <c r="U105" s="5">
        <f t="shared" si="11"/>
        <v>0</v>
      </c>
      <c r="V105" s="5" t="str">
        <f t="shared" si="12"/>
        <v>完工超时</v>
      </c>
      <c r="W105" s="5">
        <f t="shared" si="13"/>
        <v>1</v>
      </c>
    </row>
    <row r="106" spans="1:23" ht="17.25" customHeight="1">
      <c r="A106" s="1" t="s">
        <v>172</v>
      </c>
      <c r="B106" s="1" t="s">
        <v>22</v>
      </c>
      <c r="C106" s="1" t="s">
        <v>26</v>
      </c>
      <c r="D106" s="1" t="s">
        <v>32</v>
      </c>
      <c r="E106" s="6">
        <v>46239.347222222219</v>
      </c>
      <c r="F106" s="6">
        <v>46239.393750000003</v>
      </c>
      <c r="G106" s="6">
        <v>46241.708333333336</v>
      </c>
      <c r="H106" s="6">
        <v>46241.681944444441</v>
      </c>
      <c r="I106" s="6">
        <v>46241.833333333336</v>
      </c>
      <c r="J106" s="6">
        <v>46241.759027777778</v>
      </c>
      <c r="K106" s="1" t="s">
        <v>66</v>
      </c>
      <c r="L106" s="1" t="s">
        <v>34</v>
      </c>
      <c r="M106" s="6"/>
      <c r="N106" s="6"/>
      <c r="O106" s="1">
        <v>0</v>
      </c>
      <c r="P106" s="1">
        <v>3</v>
      </c>
      <c r="Q106" s="5">
        <f t="shared" si="7"/>
        <v>1</v>
      </c>
      <c r="R106" s="5">
        <f t="shared" si="8"/>
        <v>1</v>
      </c>
      <c r="S106" s="5">
        <f t="shared" si="9"/>
        <v>0</v>
      </c>
      <c r="T106" s="5">
        <f t="shared" si="10"/>
        <v>0</v>
      </c>
      <c r="U106" s="5">
        <f t="shared" si="11"/>
        <v>0</v>
      </c>
      <c r="V106" s="5" t="str">
        <f t="shared" si="12"/>
        <v>无</v>
      </c>
      <c r="W106" s="5">
        <f t="shared" si="13"/>
        <v>1</v>
      </c>
    </row>
    <row r="107" spans="1:23" ht="17.25" customHeight="1">
      <c r="A107" s="1" t="s">
        <v>173</v>
      </c>
      <c r="B107" s="1" t="s">
        <v>20</v>
      </c>
      <c r="C107" s="1" t="s">
        <v>24</v>
      </c>
      <c r="D107" s="1" t="s">
        <v>28</v>
      </c>
      <c r="E107" s="6">
        <v>46239.388888888891</v>
      </c>
      <c r="F107" s="6">
        <v>46239.509027777778</v>
      </c>
      <c r="G107" s="6">
        <v>46240.5</v>
      </c>
      <c r="H107" s="6">
        <v>46240.542361111111</v>
      </c>
      <c r="I107" s="6">
        <v>46240.666666666664</v>
      </c>
      <c r="J107" s="6">
        <v>46240.588194444441</v>
      </c>
      <c r="K107" s="1" t="s">
        <v>66</v>
      </c>
      <c r="L107" s="1" t="s">
        <v>36</v>
      </c>
      <c r="M107" s="6">
        <v>46240.5</v>
      </c>
      <c r="N107" s="6">
        <v>46240.609722222223</v>
      </c>
      <c r="O107" s="1">
        <v>0</v>
      </c>
      <c r="P107" s="1">
        <v>2</v>
      </c>
      <c r="Q107" s="5">
        <f t="shared" si="7"/>
        <v>0</v>
      </c>
      <c r="R107" s="5">
        <f t="shared" si="8"/>
        <v>1</v>
      </c>
      <c r="S107" s="5">
        <f t="shared" si="9"/>
        <v>1</v>
      </c>
      <c r="T107" s="5">
        <f t="shared" si="10"/>
        <v>1</v>
      </c>
      <c r="U107" s="5">
        <f t="shared" si="11"/>
        <v>0</v>
      </c>
      <c r="V107" s="5" t="str">
        <f t="shared" si="12"/>
        <v>上门超时</v>
      </c>
      <c r="W107" s="5">
        <f t="shared" si="13"/>
        <v>1</v>
      </c>
    </row>
    <row r="108" spans="1:23" ht="17.25" customHeight="1">
      <c r="A108" s="1" t="s">
        <v>174</v>
      </c>
      <c r="B108" s="1" t="s">
        <v>21</v>
      </c>
      <c r="C108" s="1" t="s">
        <v>25</v>
      </c>
      <c r="D108" s="1" t="s">
        <v>29</v>
      </c>
      <c r="E108" s="6">
        <v>46239.395833333336</v>
      </c>
      <c r="F108" s="6">
        <v>46239.433333333334</v>
      </c>
      <c r="G108" s="6">
        <v>46241.5</v>
      </c>
      <c r="H108" s="6">
        <v>46241.474305555559</v>
      </c>
      <c r="I108" s="6">
        <v>46241.708333333336</v>
      </c>
      <c r="J108" s="6">
        <v>46241.527083333334</v>
      </c>
      <c r="K108" s="1" t="s">
        <v>66</v>
      </c>
      <c r="L108" s="1" t="s">
        <v>34</v>
      </c>
      <c r="M108" s="6"/>
      <c r="N108" s="6"/>
      <c r="O108" s="1">
        <v>0</v>
      </c>
      <c r="P108" s="1">
        <v>4</v>
      </c>
      <c r="Q108" s="5">
        <f t="shared" si="7"/>
        <v>1</v>
      </c>
      <c r="R108" s="5">
        <f t="shared" si="8"/>
        <v>1</v>
      </c>
      <c r="S108" s="5">
        <f t="shared" si="9"/>
        <v>0</v>
      </c>
      <c r="T108" s="5">
        <f t="shared" si="10"/>
        <v>0</v>
      </c>
      <c r="U108" s="5">
        <f t="shared" si="11"/>
        <v>0</v>
      </c>
      <c r="V108" s="5" t="str">
        <f t="shared" si="12"/>
        <v>无</v>
      </c>
      <c r="W108" s="5">
        <f t="shared" si="13"/>
        <v>1</v>
      </c>
    </row>
    <row r="109" spans="1:23" ht="17.25" customHeight="1">
      <c r="A109" s="1" t="s">
        <v>175</v>
      </c>
      <c r="B109" s="1" t="s">
        <v>20</v>
      </c>
      <c r="C109" s="1" t="s">
        <v>24</v>
      </c>
      <c r="D109" s="1" t="s">
        <v>27</v>
      </c>
      <c r="E109" s="6">
        <v>46239.409722222219</v>
      </c>
      <c r="F109" s="6">
        <v>46239.476388888892</v>
      </c>
      <c r="G109" s="6">
        <v>46240.416666666664</v>
      </c>
      <c r="H109" s="6">
        <v>46240.395138888889</v>
      </c>
      <c r="I109" s="6">
        <v>46240.583333333336</v>
      </c>
      <c r="J109" s="6">
        <v>46240.45416666667</v>
      </c>
      <c r="K109" s="1" t="s">
        <v>66</v>
      </c>
      <c r="L109" s="1" t="s">
        <v>34</v>
      </c>
      <c r="M109" s="6"/>
      <c r="N109" s="6"/>
      <c r="O109" s="1">
        <v>0</v>
      </c>
      <c r="P109" s="1">
        <v>5</v>
      </c>
      <c r="Q109" s="5">
        <f t="shared" si="7"/>
        <v>1</v>
      </c>
      <c r="R109" s="5">
        <f t="shared" si="8"/>
        <v>1</v>
      </c>
      <c r="S109" s="5">
        <f t="shared" si="9"/>
        <v>0</v>
      </c>
      <c r="T109" s="5">
        <f t="shared" si="10"/>
        <v>0</v>
      </c>
      <c r="U109" s="5">
        <f t="shared" si="11"/>
        <v>0</v>
      </c>
      <c r="V109" s="5" t="str">
        <f t="shared" si="12"/>
        <v>无</v>
      </c>
      <c r="W109" s="5">
        <f t="shared" si="13"/>
        <v>1</v>
      </c>
    </row>
    <row r="110" spans="1:23" ht="17.25" customHeight="1">
      <c r="A110" s="1" t="s">
        <v>176</v>
      </c>
      <c r="B110" s="1" t="s">
        <v>21</v>
      </c>
      <c r="C110" s="1" t="s">
        <v>24</v>
      </c>
      <c r="D110" s="1" t="s">
        <v>29</v>
      </c>
      <c r="E110" s="6">
        <v>46239.416666666664</v>
      </c>
      <c r="F110" s="6">
        <v>46239.482638888891</v>
      </c>
      <c r="G110" s="6">
        <v>46240.416666666664</v>
      </c>
      <c r="H110" s="6">
        <v>46240.472222222219</v>
      </c>
      <c r="I110" s="6">
        <v>46240.583333333336</v>
      </c>
      <c r="J110" s="6">
        <v>46240.525694444441</v>
      </c>
      <c r="K110" s="1" t="s">
        <v>66</v>
      </c>
      <c r="L110" s="1" t="s">
        <v>36</v>
      </c>
      <c r="M110" s="6">
        <v>46240.416666666664</v>
      </c>
      <c r="N110" s="6"/>
      <c r="O110" s="1">
        <v>0</v>
      </c>
      <c r="P110" s="1"/>
      <c r="Q110" s="5">
        <f t="shared" si="7"/>
        <v>0</v>
      </c>
      <c r="R110" s="5">
        <f t="shared" si="8"/>
        <v>1</v>
      </c>
      <c r="S110" s="5">
        <f t="shared" si="9"/>
        <v>1</v>
      </c>
      <c r="T110" s="5">
        <f t="shared" si="10"/>
        <v>0</v>
      </c>
      <c r="U110" s="5">
        <f t="shared" si="11"/>
        <v>1</v>
      </c>
      <c r="V110" s="5" t="str">
        <f t="shared" si="12"/>
        <v>上门超时</v>
      </c>
      <c r="W110" s="5">
        <f t="shared" si="13"/>
        <v>1</v>
      </c>
    </row>
    <row r="111" spans="1:23" ht="17.25" customHeight="1">
      <c r="A111" s="1" t="s">
        <v>177</v>
      </c>
      <c r="B111" s="1" t="s">
        <v>21</v>
      </c>
      <c r="C111" s="1" t="s">
        <v>24</v>
      </c>
      <c r="D111" s="1" t="s">
        <v>29</v>
      </c>
      <c r="E111" s="6">
        <v>46239.447916666664</v>
      </c>
      <c r="F111" s="6">
        <v>46239.613194444442</v>
      </c>
      <c r="G111" s="6">
        <v>46242.5</v>
      </c>
      <c r="H111" s="6">
        <v>46242.46597222222</v>
      </c>
      <c r="I111" s="6">
        <v>46242.666666666664</v>
      </c>
      <c r="J111" s="6">
        <v>46242.540277777778</v>
      </c>
      <c r="K111" s="1" t="s">
        <v>66</v>
      </c>
      <c r="L111" s="1" t="s">
        <v>34</v>
      </c>
      <c r="M111" s="6"/>
      <c r="N111" s="6"/>
      <c r="O111" s="1">
        <v>0</v>
      </c>
      <c r="P111" s="1"/>
      <c r="Q111" s="5">
        <f t="shared" si="7"/>
        <v>1</v>
      </c>
      <c r="R111" s="5">
        <f t="shared" si="8"/>
        <v>1</v>
      </c>
      <c r="S111" s="5">
        <f t="shared" si="9"/>
        <v>0</v>
      </c>
      <c r="T111" s="5">
        <f t="shared" si="10"/>
        <v>0</v>
      </c>
      <c r="U111" s="5">
        <f t="shared" si="11"/>
        <v>0</v>
      </c>
      <c r="V111" s="5" t="str">
        <f t="shared" si="12"/>
        <v>无</v>
      </c>
      <c r="W111" s="5">
        <f t="shared" si="13"/>
        <v>1</v>
      </c>
    </row>
    <row r="112" spans="1:23" ht="17.25" customHeight="1">
      <c r="A112" s="1" t="s">
        <v>178</v>
      </c>
      <c r="B112" s="1" t="s">
        <v>20</v>
      </c>
      <c r="C112" s="1" t="s">
        <v>24</v>
      </c>
      <c r="D112" s="1" t="s">
        <v>28</v>
      </c>
      <c r="E112" s="6">
        <v>46239.486111111109</v>
      </c>
      <c r="F112" s="6">
        <v>46239.51666666667</v>
      </c>
      <c r="G112" s="6">
        <v>46241.416666666664</v>
      </c>
      <c r="H112" s="6">
        <v>46241.365972222222</v>
      </c>
      <c r="I112" s="6">
        <v>46241.583333333336</v>
      </c>
      <c r="J112" s="6">
        <v>46241.443055555559</v>
      </c>
      <c r="K112" s="1" t="s">
        <v>66</v>
      </c>
      <c r="L112" s="1" t="s">
        <v>34</v>
      </c>
      <c r="M112" s="6"/>
      <c r="N112" s="6"/>
      <c r="O112" s="1">
        <v>0</v>
      </c>
      <c r="P112" s="1">
        <v>5</v>
      </c>
      <c r="Q112" s="5">
        <f t="shared" si="7"/>
        <v>1</v>
      </c>
      <c r="R112" s="5">
        <f t="shared" si="8"/>
        <v>1</v>
      </c>
      <c r="S112" s="5">
        <f t="shared" si="9"/>
        <v>0</v>
      </c>
      <c r="T112" s="5">
        <f t="shared" si="10"/>
        <v>0</v>
      </c>
      <c r="U112" s="5">
        <f t="shared" si="11"/>
        <v>0</v>
      </c>
      <c r="V112" s="5" t="str">
        <f t="shared" si="12"/>
        <v>无</v>
      </c>
      <c r="W112" s="5">
        <f t="shared" si="13"/>
        <v>1</v>
      </c>
    </row>
    <row r="113" spans="1:23" ht="17.25" customHeight="1">
      <c r="A113" s="1" t="s">
        <v>179</v>
      </c>
      <c r="B113" s="1" t="s">
        <v>20</v>
      </c>
      <c r="C113" s="1" t="s">
        <v>25</v>
      </c>
      <c r="D113" s="1" t="s">
        <v>27</v>
      </c>
      <c r="E113" s="6">
        <v>46239.506944444445</v>
      </c>
      <c r="F113" s="6">
        <v>46239.633333333331</v>
      </c>
      <c r="G113" s="6">
        <v>46240.416666666664</v>
      </c>
      <c r="H113" s="6">
        <v>46240.388194444444</v>
      </c>
      <c r="I113" s="6">
        <v>46240.625</v>
      </c>
      <c r="J113" s="6">
        <v>46240.47152777778</v>
      </c>
      <c r="K113" s="1" t="s">
        <v>66</v>
      </c>
      <c r="L113" s="1" t="s">
        <v>34</v>
      </c>
      <c r="M113" s="6"/>
      <c r="N113" s="6"/>
      <c r="O113" s="1">
        <v>0</v>
      </c>
      <c r="P113" s="1">
        <v>4</v>
      </c>
      <c r="Q113" s="5">
        <f t="shared" si="7"/>
        <v>1</v>
      </c>
      <c r="R113" s="5">
        <f t="shared" si="8"/>
        <v>1</v>
      </c>
      <c r="S113" s="5">
        <f t="shared" si="9"/>
        <v>0</v>
      </c>
      <c r="T113" s="5">
        <f t="shared" si="10"/>
        <v>0</v>
      </c>
      <c r="U113" s="5">
        <f t="shared" si="11"/>
        <v>0</v>
      </c>
      <c r="V113" s="5" t="str">
        <f t="shared" si="12"/>
        <v>无</v>
      </c>
      <c r="W113" s="5">
        <f t="shared" si="13"/>
        <v>1</v>
      </c>
    </row>
    <row r="114" spans="1:23" ht="17.25" customHeight="1">
      <c r="A114" s="1" t="s">
        <v>180</v>
      </c>
      <c r="B114" s="1" t="s">
        <v>22</v>
      </c>
      <c r="C114" s="1" t="s">
        <v>25</v>
      </c>
      <c r="D114" s="1" t="s">
        <v>31</v>
      </c>
      <c r="E114" s="6">
        <v>46239.534722222219</v>
      </c>
      <c r="F114" s="6"/>
      <c r="G114" s="6">
        <v>46240.416666666664</v>
      </c>
      <c r="H114" s="6"/>
      <c r="I114" s="6">
        <v>46240.625</v>
      </c>
      <c r="J114" s="6"/>
      <c r="K114" s="1" t="s">
        <v>73</v>
      </c>
      <c r="L114" s="1" t="s">
        <v>35</v>
      </c>
      <c r="M114" s="6">
        <v>46240.416666666664</v>
      </c>
      <c r="N114" s="6"/>
      <c r="O114" s="1">
        <v>0</v>
      </c>
      <c r="P114" s="1"/>
      <c r="Q114" s="5">
        <f t="shared" si="7"/>
        <v>0</v>
      </c>
      <c r="R114" s="5">
        <f t="shared" si="8"/>
        <v>0</v>
      </c>
      <c r="S114" s="5">
        <f t="shared" si="9"/>
        <v>1</v>
      </c>
      <c r="T114" s="5">
        <f t="shared" si="10"/>
        <v>0</v>
      </c>
      <c r="U114" s="5">
        <f t="shared" si="11"/>
        <v>1</v>
      </c>
      <c r="V114" s="5" t="str">
        <f t="shared" si="12"/>
        <v>派单超时</v>
      </c>
      <c r="W114" s="5">
        <f t="shared" si="13"/>
        <v>1</v>
      </c>
    </row>
    <row r="115" spans="1:23" ht="17.25" customHeight="1">
      <c r="A115" s="1" t="s">
        <v>181</v>
      </c>
      <c r="B115" s="1" t="s">
        <v>21</v>
      </c>
      <c r="C115" s="1" t="s">
        <v>24</v>
      </c>
      <c r="D115" s="1" t="s">
        <v>30</v>
      </c>
      <c r="E115" s="6">
        <v>46239.545138888891</v>
      </c>
      <c r="F115" s="6">
        <v>46239.708333333336</v>
      </c>
      <c r="G115" s="6">
        <v>46240.708333333336</v>
      </c>
      <c r="H115" s="6">
        <v>46240.763194444444</v>
      </c>
      <c r="I115" s="6">
        <v>46240.875</v>
      </c>
      <c r="J115" s="6">
        <v>46240.809027777781</v>
      </c>
      <c r="K115" s="1" t="s">
        <v>66</v>
      </c>
      <c r="L115" s="1" t="s">
        <v>36</v>
      </c>
      <c r="M115" s="6">
        <v>46240.708333333336</v>
      </c>
      <c r="N115" s="6"/>
      <c r="O115" s="1">
        <v>0</v>
      </c>
      <c r="P115" s="1">
        <v>3</v>
      </c>
      <c r="Q115" s="5">
        <f t="shared" si="7"/>
        <v>0</v>
      </c>
      <c r="R115" s="5">
        <f t="shared" si="8"/>
        <v>1</v>
      </c>
      <c r="S115" s="5">
        <f t="shared" si="9"/>
        <v>1</v>
      </c>
      <c r="T115" s="5">
        <f t="shared" si="10"/>
        <v>0</v>
      </c>
      <c r="U115" s="5">
        <f t="shared" si="11"/>
        <v>1</v>
      </c>
      <c r="V115" s="5" t="str">
        <f t="shared" si="12"/>
        <v>上门超时</v>
      </c>
      <c r="W115" s="5">
        <f t="shared" si="13"/>
        <v>1</v>
      </c>
    </row>
    <row r="116" spans="1:23" ht="17.25" customHeight="1">
      <c r="A116" s="1" t="s">
        <v>182</v>
      </c>
      <c r="B116" s="1" t="s">
        <v>21</v>
      </c>
      <c r="C116" s="1" t="s">
        <v>24</v>
      </c>
      <c r="D116" s="1" t="s">
        <v>29</v>
      </c>
      <c r="E116" s="6">
        <v>46239.576388888891</v>
      </c>
      <c r="F116" s="6">
        <v>46239.630555555559</v>
      </c>
      <c r="G116" s="6">
        <v>46240.625</v>
      </c>
      <c r="H116" s="6">
        <v>46240.602777777778</v>
      </c>
      <c r="I116" s="6">
        <v>46240.791666666664</v>
      </c>
      <c r="J116" s="6">
        <v>46240.702777777777</v>
      </c>
      <c r="K116" s="1" t="s">
        <v>66</v>
      </c>
      <c r="L116" s="1" t="s">
        <v>34</v>
      </c>
      <c r="M116" s="6"/>
      <c r="N116" s="6"/>
      <c r="O116" s="1">
        <v>0</v>
      </c>
      <c r="P116" s="1">
        <v>5</v>
      </c>
      <c r="Q116" s="5">
        <f t="shared" si="7"/>
        <v>1</v>
      </c>
      <c r="R116" s="5">
        <f t="shared" si="8"/>
        <v>1</v>
      </c>
      <c r="S116" s="5">
        <f t="shared" si="9"/>
        <v>0</v>
      </c>
      <c r="T116" s="5">
        <f t="shared" si="10"/>
        <v>0</v>
      </c>
      <c r="U116" s="5">
        <f t="shared" si="11"/>
        <v>0</v>
      </c>
      <c r="V116" s="5" t="str">
        <f t="shared" si="12"/>
        <v>无</v>
      </c>
      <c r="W116" s="5">
        <f t="shared" si="13"/>
        <v>1</v>
      </c>
    </row>
    <row r="117" spans="1:23" ht="17.25" customHeight="1">
      <c r="A117" s="1" t="s">
        <v>183</v>
      </c>
      <c r="B117" s="1" t="s">
        <v>21</v>
      </c>
      <c r="C117" s="1" t="s">
        <v>24</v>
      </c>
      <c r="D117" s="1" t="s">
        <v>30</v>
      </c>
      <c r="E117" s="6">
        <v>46239.583333333336</v>
      </c>
      <c r="F117" s="6">
        <v>46239.637499999997</v>
      </c>
      <c r="G117" s="6">
        <v>46242.5</v>
      </c>
      <c r="H117" s="6">
        <v>46242.520138888889</v>
      </c>
      <c r="I117" s="6">
        <v>46242.666666666664</v>
      </c>
      <c r="J117" s="6">
        <v>46242.615972222222</v>
      </c>
      <c r="K117" s="1" t="s">
        <v>66</v>
      </c>
      <c r="L117" s="1" t="s">
        <v>36</v>
      </c>
      <c r="M117" s="6">
        <v>46242.5</v>
      </c>
      <c r="N117" s="6">
        <v>46242.736805555556</v>
      </c>
      <c r="O117" s="1">
        <v>0</v>
      </c>
      <c r="P117" s="1">
        <v>3</v>
      </c>
      <c r="Q117" s="5">
        <f t="shared" si="7"/>
        <v>0</v>
      </c>
      <c r="R117" s="5">
        <f t="shared" si="8"/>
        <v>1</v>
      </c>
      <c r="S117" s="5">
        <f t="shared" si="9"/>
        <v>1</v>
      </c>
      <c r="T117" s="5">
        <f t="shared" si="10"/>
        <v>1</v>
      </c>
      <c r="U117" s="5">
        <f t="shared" si="11"/>
        <v>0</v>
      </c>
      <c r="V117" s="5" t="str">
        <f t="shared" si="12"/>
        <v>上门超时</v>
      </c>
      <c r="W117" s="5">
        <f t="shared" si="13"/>
        <v>1</v>
      </c>
    </row>
    <row r="118" spans="1:23" ht="17.25" customHeight="1">
      <c r="A118" s="1" t="s">
        <v>184</v>
      </c>
      <c r="B118" s="1" t="s">
        <v>22</v>
      </c>
      <c r="C118" s="1" t="s">
        <v>26</v>
      </c>
      <c r="D118" s="1" t="s">
        <v>31</v>
      </c>
      <c r="E118" s="6">
        <v>46239.586805555555</v>
      </c>
      <c r="F118" s="6">
        <v>46239.711111111108</v>
      </c>
      <c r="G118" s="6">
        <v>46240.5</v>
      </c>
      <c r="H118" s="6">
        <v>46240.537499999999</v>
      </c>
      <c r="I118" s="6">
        <v>46240.625</v>
      </c>
      <c r="J118" s="6">
        <v>46240.623611111114</v>
      </c>
      <c r="K118" s="1" t="s">
        <v>66</v>
      </c>
      <c r="L118" s="1" t="s">
        <v>36</v>
      </c>
      <c r="M118" s="6">
        <v>46240.5</v>
      </c>
      <c r="N118" s="6">
        <v>46240.763194444444</v>
      </c>
      <c r="O118" s="1">
        <v>0</v>
      </c>
      <c r="P118" s="1">
        <v>4</v>
      </c>
      <c r="Q118" s="5">
        <f t="shared" si="7"/>
        <v>0</v>
      </c>
      <c r="R118" s="5">
        <f t="shared" si="8"/>
        <v>1</v>
      </c>
      <c r="S118" s="5">
        <f t="shared" si="9"/>
        <v>1</v>
      </c>
      <c r="T118" s="5">
        <f t="shared" si="10"/>
        <v>1</v>
      </c>
      <c r="U118" s="5">
        <f t="shared" si="11"/>
        <v>0</v>
      </c>
      <c r="V118" s="5" t="str">
        <f t="shared" si="12"/>
        <v>上门超时</v>
      </c>
      <c r="W118" s="5">
        <f t="shared" si="13"/>
        <v>1</v>
      </c>
    </row>
    <row r="119" spans="1:23" ht="17.25" customHeight="1">
      <c r="A119" s="1" t="s">
        <v>185</v>
      </c>
      <c r="B119" s="1" t="s">
        <v>21</v>
      </c>
      <c r="C119" s="1" t="s">
        <v>24</v>
      </c>
      <c r="D119" s="1" t="s">
        <v>29</v>
      </c>
      <c r="E119" s="6">
        <v>46239.586805555555</v>
      </c>
      <c r="F119" s="6">
        <v>46239.643055555556</v>
      </c>
      <c r="G119" s="6">
        <v>46242.708333333336</v>
      </c>
      <c r="H119" s="6">
        <v>46242.658333333333</v>
      </c>
      <c r="I119" s="6">
        <v>46242.875</v>
      </c>
      <c r="J119" s="6">
        <v>46242.709722222222</v>
      </c>
      <c r="K119" s="1" t="s">
        <v>66</v>
      </c>
      <c r="L119" s="1" t="s">
        <v>34</v>
      </c>
      <c r="M119" s="6"/>
      <c r="N119" s="6"/>
      <c r="O119" s="1">
        <v>0</v>
      </c>
      <c r="P119" s="1">
        <v>5</v>
      </c>
      <c r="Q119" s="5">
        <f t="shared" si="7"/>
        <v>1</v>
      </c>
      <c r="R119" s="5">
        <f t="shared" si="8"/>
        <v>1</v>
      </c>
      <c r="S119" s="5">
        <f t="shared" si="9"/>
        <v>0</v>
      </c>
      <c r="T119" s="5">
        <f t="shared" si="10"/>
        <v>0</v>
      </c>
      <c r="U119" s="5">
        <f t="shared" si="11"/>
        <v>0</v>
      </c>
      <c r="V119" s="5" t="str">
        <f t="shared" si="12"/>
        <v>无</v>
      </c>
      <c r="W119" s="5">
        <f t="shared" si="13"/>
        <v>1</v>
      </c>
    </row>
    <row r="120" spans="1:23" ht="17.25" customHeight="1">
      <c r="A120" s="1" t="s">
        <v>186</v>
      </c>
      <c r="B120" s="1" t="s">
        <v>20</v>
      </c>
      <c r="C120" s="1" t="s">
        <v>24</v>
      </c>
      <c r="D120" s="1" t="s">
        <v>27</v>
      </c>
      <c r="E120" s="6">
        <v>46239.590277777781</v>
      </c>
      <c r="F120" s="6">
        <v>46239.72152777778</v>
      </c>
      <c r="G120" s="6">
        <v>46240.708333333336</v>
      </c>
      <c r="H120" s="6">
        <v>46240.7</v>
      </c>
      <c r="I120" s="6">
        <v>46240.875</v>
      </c>
      <c r="J120" s="6">
        <v>46240.96597222222</v>
      </c>
      <c r="K120" s="1" t="s">
        <v>66</v>
      </c>
      <c r="L120" s="1" t="s">
        <v>37</v>
      </c>
      <c r="M120" s="6">
        <v>46240.875</v>
      </c>
      <c r="N120" s="6"/>
      <c r="O120" s="1">
        <v>0</v>
      </c>
      <c r="P120" s="1">
        <v>4</v>
      </c>
      <c r="Q120" s="5">
        <f t="shared" si="7"/>
        <v>1</v>
      </c>
      <c r="R120" s="5">
        <f t="shared" si="8"/>
        <v>0</v>
      </c>
      <c r="S120" s="5">
        <f t="shared" si="9"/>
        <v>1</v>
      </c>
      <c r="T120" s="5">
        <f t="shared" si="10"/>
        <v>0</v>
      </c>
      <c r="U120" s="5">
        <f t="shared" si="11"/>
        <v>1</v>
      </c>
      <c r="V120" s="5" t="str">
        <f t="shared" si="12"/>
        <v>完工超时</v>
      </c>
      <c r="W120" s="5">
        <f t="shared" si="13"/>
        <v>1</v>
      </c>
    </row>
    <row r="121" spans="1:23" ht="17.25" customHeight="1">
      <c r="A121" s="1" t="s">
        <v>187</v>
      </c>
      <c r="B121" s="1" t="s">
        <v>21</v>
      </c>
      <c r="C121" s="1" t="s">
        <v>24</v>
      </c>
      <c r="D121" s="1" t="s">
        <v>29</v>
      </c>
      <c r="E121" s="6">
        <v>46239.65625</v>
      </c>
      <c r="F121" s="6">
        <v>46239.694444444445</v>
      </c>
      <c r="G121" s="6">
        <v>46242.5</v>
      </c>
      <c r="H121" s="6">
        <v>46242.481249999997</v>
      </c>
      <c r="I121" s="6">
        <v>46242.666666666664</v>
      </c>
      <c r="J121" s="6">
        <v>46242.54791666667</v>
      </c>
      <c r="K121" s="1" t="s">
        <v>66</v>
      </c>
      <c r="L121" s="1" t="s">
        <v>34</v>
      </c>
      <c r="M121" s="6"/>
      <c r="N121" s="6"/>
      <c r="O121" s="1">
        <v>0</v>
      </c>
      <c r="P121" s="1"/>
      <c r="Q121" s="5">
        <f t="shared" si="7"/>
        <v>1</v>
      </c>
      <c r="R121" s="5">
        <f t="shared" si="8"/>
        <v>1</v>
      </c>
      <c r="S121" s="5">
        <f t="shared" si="9"/>
        <v>0</v>
      </c>
      <c r="T121" s="5">
        <f t="shared" si="10"/>
        <v>0</v>
      </c>
      <c r="U121" s="5">
        <f t="shared" si="11"/>
        <v>0</v>
      </c>
      <c r="V121" s="5" t="str">
        <f t="shared" si="12"/>
        <v>无</v>
      </c>
      <c r="W121" s="5">
        <f t="shared" si="13"/>
        <v>1</v>
      </c>
    </row>
    <row r="122" spans="1:23" ht="17.25" customHeight="1">
      <c r="A122" s="1" t="s">
        <v>188</v>
      </c>
      <c r="B122" s="1" t="s">
        <v>20</v>
      </c>
      <c r="C122" s="1" t="s">
        <v>26</v>
      </c>
      <c r="D122" s="1" t="s">
        <v>28</v>
      </c>
      <c r="E122" s="6">
        <v>46239.666666666664</v>
      </c>
      <c r="F122" s="6">
        <v>46239.821527777778</v>
      </c>
      <c r="G122" s="6">
        <v>46241.5</v>
      </c>
      <c r="H122" s="6">
        <v>46241.489583333336</v>
      </c>
      <c r="I122" s="6">
        <v>46241.625</v>
      </c>
      <c r="J122" s="6">
        <v>46241.551388888889</v>
      </c>
      <c r="K122" s="1" t="s">
        <v>66</v>
      </c>
      <c r="L122" s="1" t="s">
        <v>34</v>
      </c>
      <c r="M122" s="6"/>
      <c r="N122" s="6"/>
      <c r="O122" s="1">
        <v>0</v>
      </c>
      <c r="P122" s="1">
        <v>5</v>
      </c>
      <c r="Q122" s="5">
        <f t="shared" si="7"/>
        <v>1</v>
      </c>
      <c r="R122" s="5">
        <f t="shared" si="8"/>
        <v>1</v>
      </c>
      <c r="S122" s="5">
        <f t="shared" si="9"/>
        <v>0</v>
      </c>
      <c r="T122" s="5">
        <f t="shared" si="10"/>
        <v>0</v>
      </c>
      <c r="U122" s="5">
        <f t="shared" si="11"/>
        <v>0</v>
      </c>
      <c r="V122" s="5" t="str">
        <f t="shared" si="12"/>
        <v>无</v>
      </c>
      <c r="W122" s="5">
        <f t="shared" si="13"/>
        <v>1</v>
      </c>
    </row>
    <row r="123" spans="1:23" ht="17.25" customHeight="1">
      <c r="A123" s="1" t="s">
        <v>189</v>
      </c>
      <c r="B123" s="1" t="s">
        <v>21</v>
      </c>
      <c r="C123" s="1" t="s">
        <v>25</v>
      </c>
      <c r="D123" s="1" t="s">
        <v>30</v>
      </c>
      <c r="E123" s="6">
        <v>46239.680555555555</v>
      </c>
      <c r="F123" s="6">
        <v>46239.784722222219</v>
      </c>
      <c r="G123" s="6">
        <v>46240.416666666664</v>
      </c>
      <c r="H123" s="6">
        <v>46240.38958333333</v>
      </c>
      <c r="I123" s="6">
        <v>46240.625</v>
      </c>
      <c r="J123" s="6">
        <v>46240.464583333334</v>
      </c>
      <c r="K123" s="1" t="s">
        <v>66</v>
      </c>
      <c r="L123" s="1" t="s">
        <v>34</v>
      </c>
      <c r="M123" s="6"/>
      <c r="N123" s="6"/>
      <c r="O123" s="1">
        <v>0</v>
      </c>
      <c r="P123" s="1"/>
      <c r="Q123" s="5">
        <f t="shared" si="7"/>
        <v>1</v>
      </c>
      <c r="R123" s="5">
        <f t="shared" si="8"/>
        <v>1</v>
      </c>
      <c r="S123" s="5">
        <f t="shared" si="9"/>
        <v>0</v>
      </c>
      <c r="T123" s="5">
        <f t="shared" si="10"/>
        <v>0</v>
      </c>
      <c r="U123" s="5">
        <f t="shared" si="11"/>
        <v>0</v>
      </c>
      <c r="V123" s="5" t="str">
        <f t="shared" si="12"/>
        <v>无</v>
      </c>
      <c r="W123" s="5">
        <f t="shared" si="13"/>
        <v>1</v>
      </c>
    </row>
    <row r="124" spans="1:23" ht="17.25" customHeight="1">
      <c r="A124" s="1" t="s">
        <v>190</v>
      </c>
      <c r="B124" s="1" t="s">
        <v>20</v>
      </c>
      <c r="C124" s="1" t="s">
        <v>24</v>
      </c>
      <c r="D124" s="1" t="s">
        <v>28</v>
      </c>
      <c r="E124" s="6">
        <v>46239.704861111109</v>
      </c>
      <c r="F124" s="6">
        <v>46239.738888888889</v>
      </c>
      <c r="G124" s="6">
        <v>46240.625</v>
      </c>
      <c r="H124" s="6">
        <v>46240.588194444441</v>
      </c>
      <c r="I124" s="6">
        <v>46240.791666666664</v>
      </c>
      <c r="J124" s="6"/>
      <c r="K124" s="1" t="s">
        <v>73</v>
      </c>
      <c r="L124" s="1" t="s">
        <v>37</v>
      </c>
      <c r="M124" s="6">
        <v>46240.791666666664</v>
      </c>
      <c r="N124" s="6"/>
      <c r="O124" s="1">
        <v>0</v>
      </c>
      <c r="P124" s="1"/>
      <c r="Q124" s="5">
        <f t="shared" si="7"/>
        <v>1</v>
      </c>
      <c r="R124" s="5">
        <f t="shared" si="8"/>
        <v>0</v>
      </c>
      <c r="S124" s="5">
        <f t="shared" si="9"/>
        <v>1</v>
      </c>
      <c r="T124" s="5">
        <f t="shared" si="10"/>
        <v>0</v>
      </c>
      <c r="U124" s="5">
        <f t="shared" si="11"/>
        <v>1</v>
      </c>
      <c r="V124" s="5" t="str">
        <f t="shared" si="12"/>
        <v>完工超时</v>
      </c>
      <c r="W124" s="5">
        <f t="shared" si="13"/>
        <v>1</v>
      </c>
    </row>
    <row r="125" spans="1:23" ht="17.25" customHeight="1">
      <c r="A125" s="1" t="s">
        <v>191</v>
      </c>
      <c r="B125" s="1" t="s">
        <v>20</v>
      </c>
      <c r="C125" s="1" t="s">
        <v>24</v>
      </c>
      <c r="D125" s="1" t="s">
        <v>27</v>
      </c>
      <c r="E125" s="6">
        <v>46239.715277777781</v>
      </c>
      <c r="F125" s="6">
        <v>46239.794444444444</v>
      </c>
      <c r="G125" s="6">
        <v>46241.708333333336</v>
      </c>
      <c r="H125" s="6">
        <v>46241.662499999999</v>
      </c>
      <c r="I125" s="6">
        <v>46241.875</v>
      </c>
      <c r="J125" s="6">
        <v>46241.73541666667</v>
      </c>
      <c r="K125" s="1" t="s">
        <v>66</v>
      </c>
      <c r="L125" s="1" t="s">
        <v>34</v>
      </c>
      <c r="M125" s="6"/>
      <c r="N125" s="6"/>
      <c r="O125" s="1">
        <v>0</v>
      </c>
      <c r="P125" s="1">
        <v>4</v>
      </c>
      <c r="Q125" s="5">
        <f t="shared" si="7"/>
        <v>1</v>
      </c>
      <c r="R125" s="5">
        <f t="shared" si="8"/>
        <v>1</v>
      </c>
      <c r="S125" s="5">
        <f t="shared" si="9"/>
        <v>0</v>
      </c>
      <c r="T125" s="5">
        <f t="shared" si="10"/>
        <v>0</v>
      </c>
      <c r="U125" s="5">
        <f t="shared" si="11"/>
        <v>0</v>
      </c>
      <c r="V125" s="5" t="str">
        <f t="shared" si="12"/>
        <v>无</v>
      </c>
      <c r="W125" s="5">
        <f t="shared" si="13"/>
        <v>1</v>
      </c>
    </row>
    <row r="126" spans="1:23" ht="17.25" customHeight="1">
      <c r="A126" s="1" t="s">
        <v>192</v>
      </c>
      <c r="B126" s="1" t="s">
        <v>21</v>
      </c>
      <c r="C126" s="1" t="s">
        <v>25</v>
      </c>
      <c r="D126" s="1" t="s">
        <v>29</v>
      </c>
      <c r="E126" s="6">
        <v>46239.725694444445</v>
      </c>
      <c r="F126" s="6">
        <v>46239.861805555556</v>
      </c>
      <c r="G126" s="6">
        <v>46240.625</v>
      </c>
      <c r="H126" s="6">
        <v>46240.60833333333</v>
      </c>
      <c r="I126" s="6">
        <v>46240.833333333336</v>
      </c>
      <c r="J126" s="6">
        <v>46240.694444444445</v>
      </c>
      <c r="K126" s="1" t="s">
        <v>66</v>
      </c>
      <c r="L126" s="1" t="s">
        <v>34</v>
      </c>
      <c r="M126" s="6"/>
      <c r="N126" s="6"/>
      <c r="O126" s="1">
        <v>0</v>
      </c>
      <c r="P126" s="1">
        <v>4</v>
      </c>
      <c r="Q126" s="5">
        <f t="shared" si="7"/>
        <v>1</v>
      </c>
      <c r="R126" s="5">
        <f t="shared" si="8"/>
        <v>1</v>
      </c>
      <c r="S126" s="5">
        <f t="shared" si="9"/>
        <v>0</v>
      </c>
      <c r="T126" s="5">
        <f t="shared" si="10"/>
        <v>0</v>
      </c>
      <c r="U126" s="5">
        <f t="shared" si="11"/>
        <v>0</v>
      </c>
      <c r="V126" s="5" t="str">
        <f t="shared" si="12"/>
        <v>无</v>
      </c>
      <c r="W126" s="5">
        <f t="shared" si="13"/>
        <v>1</v>
      </c>
    </row>
    <row r="127" spans="1:23" ht="17.25" customHeight="1">
      <c r="A127" s="1" t="s">
        <v>193</v>
      </c>
      <c r="B127" s="1" t="s">
        <v>20</v>
      </c>
      <c r="C127" s="1" t="s">
        <v>25</v>
      </c>
      <c r="D127" s="1" t="s">
        <v>28</v>
      </c>
      <c r="E127" s="6">
        <v>46239.746527777781</v>
      </c>
      <c r="F127" s="6">
        <v>46239.849305555559</v>
      </c>
      <c r="G127" s="6">
        <v>46240.416666666664</v>
      </c>
      <c r="H127" s="6">
        <v>46240.402777777781</v>
      </c>
      <c r="I127" s="6">
        <v>46240.625</v>
      </c>
      <c r="J127" s="6">
        <v>46240.475694444445</v>
      </c>
      <c r="K127" s="1" t="s">
        <v>66</v>
      </c>
      <c r="L127" s="1" t="s">
        <v>34</v>
      </c>
      <c r="M127" s="6"/>
      <c r="N127" s="6"/>
      <c r="O127" s="1">
        <v>0</v>
      </c>
      <c r="P127" s="1"/>
      <c r="Q127" s="5">
        <f t="shared" si="7"/>
        <v>1</v>
      </c>
      <c r="R127" s="5">
        <f t="shared" si="8"/>
        <v>1</v>
      </c>
      <c r="S127" s="5">
        <f t="shared" si="9"/>
        <v>0</v>
      </c>
      <c r="T127" s="5">
        <f t="shared" si="10"/>
        <v>0</v>
      </c>
      <c r="U127" s="5">
        <f t="shared" si="11"/>
        <v>0</v>
      </c>
      <c r="V127" s="5" t="str">
        <f t="shared" si="12"/>
        <v>无</v>
      </c>
      <c r="W127" s="5">
        <f t="shared" si="13"/>
        <v>1</v>
      </c>
    </row>
    <row r="128" spans="1:23" ht="17.25" customHeight="1">
      <c r="A128" s="1" t="s">
        <v>194</v>
      </c>
      <c r="B128" s="1" t="s">
        <v>22</v>
      </c>
      <c r="C128" s="1" t="s">
        <v>24</v>
      </c>
      <c r="D128" s="1" t="s">
        <v>31</v>
      </c>
      <c r="E128" s="6">
        <v>46239.760416666664</v>
      </c>
      <c r="F128" s="6">
        <v>46239.845833333333</v>
      </c>
      <c r="G128" s="6">
        <v>46241.708333333336</v>
      </c>
      <c r="H128" s="6">
        <v>46241.762499999997</v>
      </c>
      <c r="I128" s="6">
        <v>46241.875</v>
      </c>
      <c r="J128" s="6">
        <v>46241.851388888892</v>
      </c>
      <c r="K128" s="1" t="s">
        <v>66</v>
      </c>
      <c r="L128" s="1" t="s">
        <v>36</v>
      </c>
      <c r="M128" s="6">
        <v>46241.708333333336</v>
      </c>
      <c r="N128" s="6">
        <v>46241.979166666664</v>
      </c>
      <c r="O128" s="1">
        <v>0</v>
      </c>
      <c r="P128" s="1">
        <v>4</v>
      </c>
      <c r="Q128" s="5">
        <f t="shared" si="7"/>
        <v>0</v>
      </c>
      <c r="R128" s="5">
        <f t="shared" si="8"/>
        <v>1</v>
      </c>
      <c r="S128" s="5">
        <f t="shared" si="9"/>
        <v>1</v>
      </c>
      <c r="T128" s="5">
        <f t="shared" si="10"/>
        <v>1</v>
      </c>
      <c r="U128" s="5">
        <f t="shared" si="11"/>
        <v>0</v>
      </c>
      <c r="V128" s="5" t="str">
        <f t="shared" si="12"/>
        <v>上门超时</v>
      </c>
      <c r="W128" s="5">
        <f t="shared" si="13"/>
        <v>1</v>
      </c>
    </row>
    <row r="129" spans="1:23" ht="17.25" customHeight="1">
      <c r="A129" s="1" t="s">
        <v>195</v>
      </c>
      <c r="B129" s="1" t="s">
        <v>20</v>
      </c>
      <c r="C129" s="1" t="s">
        <v>24</v>
      </c>
      <c r="D129" s="1" t="s">
        <v>27</v>
      </c>
      <c r="E129" s="6">
        <v>46239.763888888891</v>
      </c>
      <c r="F129" s="6">
        <v>46239.824305555558</v>
      </c>
      <c r="G129" s="6">
        <v>46240.625</v>
      </c>
      <c r="H129" s="6">
        <v>46240.606249999997</v>
      </c>
      <c r="I129" s="6">
        <v>46240.791666666664</v>
      </c>
      <c r="J129" s="6">
        <v>46240.662499999999</v>
      </c>
      <c r="K129" s="1" t="s">
        <v>66</v>
      </c>
      <c r="L129" s="1" t="s">
        <v>34</v>
      </c>
      <c r="M129" s="6"/>
      <c r="N129" s="6"/>
      <c r="O129" s="1">
        <v>0</v>
      </c>
      <c r="P129" s="1"/>
      <c r="Q129" s="5">
        <f t="shared" si="7"/>
        <v>1</v>
      </c>
      <c r="R129" s="5">
        <f t="shared" si="8"/>
        <v>1</v>
      </c>
      <c r="S129" s="5">
        <f t="shared" si="9"/>
        <v>0</v>
      </c>
      <c r="T129" s="5">
        <f t="shared" si="10"/>
        <v>0</v>
      </c>
      <c r="U129" s="5">
        <f t="shared" si="11"/>
        <v>0</v>
      </c>
      <c r="V129" s="5" t="str">
        <f t="shared" si="12"/>
        <v>无</v>
      </c>
      <c r="W129" s="5">
        <f t="shared" si="13"/>
        <v>1</v>
      </c>
    </row>
    <row r="130" spans="1:23" ht="17.25" customHeight="1">
      <c r="A130" s="1" t="s">
        <v>196</v>
      </c>
      <c r="B130" s="1" t="s">
        <v>22</v>
      </c>
      <c r="C130" s="1" t="s">
        <v>26</v>
      </c>
      <c r="D130" s="1" t="s">
        <v>31</v>
      </c>
      <c r="E130" s="6">
        <v>46239.763888888891</v>
      </c>
      <c r="F130" s="6">
        <v>46239.871527777781</v>
      </c>
      <c r="G130" s="6">
        <v>46240.416666666664</v>
      </c>
      <c r="H130" s="6">
        <v>46240.399305555555</v>
      </c>
      <c r="I130" s="6">
        <v>46240.541666666664</v>
      </c>
      <c r="J130" s="6">
        <v>46240.500694444447</v>
      </c>
      <c r="K130" s="1" t="s">
        <v>66</v>
      </c>
      <c r="L130" s="1" t="s">
        <v>34</v>
      </c>
      <c r="M130" s="6"/>
      <c r="N130" s="6"/>
      <c r="O130" s="1">
        <v>0</v>
      </c>
      <c r="P130" s="1"/>
      <c r="Q130" s="5">
        <f t="shared" ref="Q130:Q193" si="14">IF(AND(ISNUMBER(H130),H130&lt;=G130),1,0)</f>
        <v>1</v>
      </c>
      <c r="R130" s="5">
        <f t="shared" ref="R130:R193" si="15">IF(AND(ISNUMBER(J130),J130&lt;=I130),1,0)</f>
        <v>1</v>
      </c>
      <c r="S130" s="5">
        <f t="shared" ref="S130:S193" si="16">IF(V130="无",0,1)</f>
        <v>0</v>
      </c>
      <c r="T130" s="5">
        <f t="shared" ref="T130:T193" si="17">IF(AND(S130=1,ISNUMBER(N130)),1,0)</f>
        <v>0</v>
      </c>
      <c r="U130" s="5">
        <f t="shared" ref="U130:U193" si="18">IF(AND(S130=1,T130=0),1,0)</f>
        <v>0</v>
      </c>
      <c r="V130" s="5" t="str">
        <f t="shared" ref="V130:V193" si="19">IF(AND(ISNUMBER(F130),F130&lt;=G130),IF(AND(ISNUMBER(H130),H130&lt;=G130),IF(AND(ISNUMBER(J130),J130&lt;=I130),"无","完工超时"),"上门超时"),"派单超时")</f>
        <v>无</v>
      </c>
      <c r="W130" s="5">
        <f t="shared" ref="W130:W193" si="20">IF(L130=V130,1,0)</f>
        <v>1</v>
      </c>
    </row>
    <row r="131" spans="1:23" ht="17.25" customHeight="1">
      <c r="A131" s="1" t="s">
        <v>197</v>
      </c>
      <c r="B131" s="1" t="s">
        <v>21</v>
      </c>
      <c r="C131" s="1" t="s">
        <v>24</v>
      </c>
      <c r="D131" s="1" t="s">
        <v>30</v>
      </c>
      <c r="E131" s="6">
        <v>46239.767361111109</v>
      </c>
      <c r="F131" s="6">
        <v>46239.928472222222</v>
      </c>
      <c r="G131" s="6">
        <v>46240.5</v>
      </c>
      <c r="H131" s="6">
        <v>46240.45</v>
      </c>
      <c r="I131" s="6">
        <v>46240.666666666664</v>
      </c>
      <c r="J131" s="6">
        <v>46240.554166666669</v>
      </c>
      <c r="K131" s="1" t="s">
        <v>66</v>
      </c>
      <c r="L131" s="1" t="s">
        <v>34</v>
      </c>
      <c r="M131" s="6"/>
      <c r="N131" s="6"/>
      <c r="O131" s="1">
        <v>0</v>
      </c>
      <c r="P131" s="1">
        <v>4</v>
      </c>
      <c r="Q131" s="5">
        <f t="shared" si="14"/>
        <v>1</v>
      </c>
      <c r="R131" s="5">
        <f t="shared" si="15"/>
        <v>1</v>
      </c>
      <c r="S131" s="5">
        <f t="shared" si="16"/>
        <v>0</v>
      </c>
      <c r="T131" s="5">
        <f t="shared" si="17"/>
        <v>0</v>
      </c>
      <c r="U131" s="5">
        <f t="shared" si="18"/>
        <v>0</v>
      </c>
      <c r="V131" s="5" t="str">
        <f t="shared" si="19"/>
        <v>无</v>
      </c>
      <c r="W131" s="5">
        <f t="shared" si="20"/>
        <v>1</v>
      </c>
    </row>
    <row r="132" spans="1:23" ht="17.25" customHeight="1">
      <c r="A132" s="1" t="s">
        <v>198</v>
      </c>
      <c r="B132" s="1" t="s">
        <v>22</v>
      </c>
      <c r="C132" s="1" t="s">
        <v>24</v>
      </c>
      <c r="D132" s="1" t="s">
        <v>31</v>
      </c>
      <c r="E132" s="6">
        <v>46239.784722222219</v>
      </c>
      <c r="F132" s="6">
        <v>46239.835416666669</v>
      </c>
      <c r="G132" s="6">
        <v>46240.625</v>
      </c>
      <c r="H132" s="6">
        <v>46240.591666666667</v>
      </c>
      <c r="I132" s="6">
        <v>46240.791666666664</v>
      </c>
      <c r="J132" s="6">
        <v>46240.661111111112</v>
      </c>
      <c r="K132" s="1" t="s">
        <v>66</v>
      </c>
      <c r="L132" s="1" t="s">
        <v>34</v>
      </c>
      <c r="M132" s="6"/>
      <c r="N132" s="6"/>
      <c r="O132" s="1">
        <v>0</v>
      </c>
      <c r="P132" s="1">
        <v>4</v>
      </c>
      <c r="Q132" s="5">
        <f t="shared" si="14"/>
        <v>1</v>
      </c>
      <c r="R132" s="5">
        <f t="shared" si="15"/>
        <v>1</v>
      </c>
      <c r="S132" s="5">
        <f t="shared" si="16"/>
        <v>0</v>
      </c>
      <c r="T132" s="5">
        <f t="shared" si="17"/>
        <v>0</v>
      </c>
      <c r="U132" s="5">
        <f t="shared" si="18"/>
        <v>0</v>
      </c>
      <c r="V132" s="5" t="str">
        <f t="shared" si="19"/>
        <v>无</v>
      </c>
      <c r="W132" s="5">
        <f t="shared" si="20"/>
        <v>1</v>
      </c>
    </row>
    <row r="133" spans="1:23" ht="17.25" customHeight="1">
      <c r="A133" s="1" t="s">
        <v>199</v>
      </c>
      <c r="B133" s="1" t="s">
        <v>20</v>
      </c>
      <c r="C133" s="1" t="s">
        <v>24</v>
      </c>
      <c r="D133" s="1" t="s">
        <v>27</v>
      </c>
      <c r="E133" s="6">
        <v>46239.788194444445</v>
      </c>
      <c r="F133" s="6">
        <v>46239.879166666666</v>
      </c>
      <c r="G133" s="6">
        <v>46240.416666666664</v>
      </c>
      <c r="H133" s="6">
        <v>46240.373611111114</v>
      </c>
      <c r="I133" s="6">
        <v>46240.583333333336</v>
      </c>
      <c r="J133" s="6">
        <v>46240.456944444442</v>
      </c>
      <c r="K133" s="1" t="s">
        <v>66</v>
      </c>
      <c r="L133" s="1" t="s">
        <v>34</v>
      </c>
      <c r="M133" s="6"/>
      <c r="N133" s="6"/>
      <c r="O133" s="1">
        <v>0</v>
      </c>
      <c r="P133" s="1">
        <v>5</v>
      </c>
      <c r="Q133" s="5">
        <f t="shared" si="14"/>
        <v>1</v>
      </c>
      <c r="R133" s="5">
        <f t="shared" si="15"/>
        <v>1</v>
      </c>
      <c r="S133" s="5">
        <f t="shared" si="16"/>
        <v>0</v>
      </c>
      <c r="T133" s="5">
        <f t="shared" si="17"/>
        <v>0</v>
      </c>
      <c r="U133" s="5">
        <f t="shared" si="18"/>
        <v>0</v>
      </c>
      <c r="V133" s="5" t="str">
        <f t="shared" si="19"/>
        <v>无</v>
      </c>
      <c r="W133" s="5">
        <f t="shared" si="20"/>
        <v>1</v>
      </c>
    </row>
    <row r="134" spans="1:23" ht="17.25" customHeight="1">
      <c r="A134" s="1" t="s">
        <v>200</v>
      </c>
      <c r="B134" s="1" t="s">
        <v>20</v>
      </c>
      <c r="C134" s="1" t="s">
        <v>24</v>
      </c>
      <c r="D134" s="1" t="s">
        <v>28</v>
      </c>
      <c r="E134" s="6">
        <v>46239.788194444445</v>
      </c>
      <c r="F134" s="6">
        <v>46239.866666666669</v>
      </c>
      <c r="G134" s="6">
        <v>46241.708333333336</v>
      </c>
      <c r="H134" s="6">
        <v>46241.669444444444</v>
      </c>
      <c r="I134" s="6">
        <v>46241.875</v>
      </c>
      <c r="J134" s="6">
        <v>46241.720833333333</v>
      </c>
      <c r="K134" s="1" t="s">
        <v>66</v>
      </c>
      <c r="L134" s="1" t="s">
        <v>34</v>
      </c>
      <c r="M134" s="6"/>
      <c r="N134" s="6"/>
      <c r="O134" s="1">
        <v>0</v>
      </c>
      <c r="P134" s="1">
        <v>5</v>
      </c>
      <c r="Q134" s="5">
        <f t="shared" si="14"/>
        <v>1</v>
      </c>
      <c r="R134" s="5">
        <f t="shared" si="15"/>
        <v>1</v>
      </c>
      <c r="S134" s="5">
        <f t="shared" si="16"/>
        <v>0</v>
      </c>
      <c r="T134" s="5">
        <f t="shared" si="17"/>
        <v>0</v>
      </c>
      <c r="U134" s="5">
        <f t="shared" si="18"/>
        <v>0</v>
      </c>
      <c r="V134" s="5" t="str">
        <f t="shared" si="19"/>
        <v>无</v>
      </c>
      <c r="W134" s="5">
        <f t="shared" si="20"/>
        <v>1</v>
      </c>
    </row>
    <row r="135" spans="1:23" ht="17.25" customHeight="1">
      <c r="A135" s="1" t="s">
        <v>201</v>
      </c>
      <c r="B135" s="1" t="s">
        <v>20</v>
      </c>
      <c r="C135" s="1" t="s">
        <v>24</v>
      </c>
      <c r="D135" s="1" t="s">
        <v>27</v>
      </c>
      <c r="E135" s="6">
        <v>46240.347222222219</v>
      </c>
      <c r="F135" s="6">
        <v>46240.506249999999</v>
      </c>
      <c r="G135" s="6">
        <v>46241.708333333336</v>
      </c>
      <c r="H135" s="6">
        <v>46241.781944444447</v>
      </c>
      <c r="I135" s="6">
        <v>46241.875</v>
      </c>
      <c r="J135" s="6">
        <v>46241.875694444447</v>
      </c>
      <c r="K135" s="1" t="s">
        <v>66</v>
      </c>
      <c r="L135" s="1" t="s">
        <v>36</v>
      </c>
      <c r="M135" s="6">
        <v>46241.708333333336</v>
      </c>
      <c r="N135" s="6">
        <v>46241.969444444447</v>
      </c>
      <c r="O135" s="1">
        <v>0</v>
      </c>
      <c r="P135" s="1">
        <v>3</v>
      </c>
      <c r="Q135" s="5">
        <f t="shared" si="14"/>
        <v>0</v>
      </c>
      <c r="R135" s="5">
        <f t="shared" si="15"/>
        <v>0</v>
      </c>
      <c r="S135" s="5">
        <f t="shared" si="16"/>
        <v>1</v>
      </c>
      <c r="T135" s="5">
        <f t="shared" si="17"/>
        <v>1</v>
      </c>
      <c r="U135" s="5">
        <f t="shared" si="18"/>
        <v>0</v>
      </c>
      <c r="V135" s="5" t="str">
        <f t="shared" si="19"/>
        <v>上门超时</v>
      </c>
      <c r="W135" s="5">
        <f t="shared" si="20"/>
        <v>1</v>
      </c>
    </row>
    <row r="136" spans="1:23" ht="17.25" customHeight="1">
      <c r="A136" s="1" t="s">
        <v>202</v>
      </c>
      <c r="B136" s="1" t="s">
        <v>20</v>
      </c>
      <c r="C136" s="1" t="s">
        <v>26</v>
      </c>
      <c r="D136" s="1" t="s">
        <v>28</v>
      </c>
      <c r="E136" s="6">
        <v>46240.375</v>
      </c>
      <c r="F136" s="6">
        <v>46240.43472222222</v>
      </c>
      <c r="G136" s="6">
        <v>46242.416666666664</v>
      </c>
      <c r="H136" s="6">
        <v>46242.40347222222</v>
      </c>
      <c r="I136" s="6">
        <v>46242.541666666664</v>
      </c>
      <c r="J136" s="6">
        <v>46242.462500000001</v>
      </c>
      <c r="K136" s="1" t="s">
        <v>66</v>
      </c>
      <c r="L136" s="1" t="s">
        <v>34</v>
      </c>
      <c r="M136" s="6"/>
      <c r="N136" s="6"/>
      <c r="O136" s="1">
        <v>0</v>
      </c>
      <c r="P136" s="1">
        <v>4</v>
      </c>
      <c r="Q136" s="5">
        <f t="shared" si="14"/>
        <v>1</v>
      </c>
      <c r="R136" s="5">
        <f t="shared" si="15"/>
        <v>1</v>
      </c>
      <c r="S136" s="5">
        <f t="shared" si="16"/>
        <v>0</v>
      </c>
      <c r="T136" s="5">
        <f t="shared" si="17"/>
        <v>0</v>
      </c>
      <c r="U136" s="5">
        <f t="shared" si="18"/>
        <v>0</v>
      </c>
      <c r="V136" s="5" t="str">
        <f t="shared" si="19"/>
        <v>无</v>
      </c>
      <c r="W136" s="5">
        <f t="shared" si="20"/>
        <v>1</v>
      </c>
    </row>
    <row r="137" spans="1:23" ht="17.25" customHeight="1">
      <c r="A137" s="1" t="s">
        <v>203</v>
      </c>
      <c r="B137" s="1" t="s">
        <v>21</v>
      </c>
      <c r="C137" s="1" t="s">
        <v>25</v>
      </c>
      <c r="D137" s="1" t="s">
        <v>29</v>
      </c>
      <c r="E137" s="6">
        <v>46240.447916666664</v>
      </c>
      <c r="F137" s="6">
        <v>46242.431944444441</v>
      </c>
      <c r="G137" s="6">
        <v>46242.416666666664</v>
      </c>
      <c r="H137" s="6">
        <v>46242.449305555558</v>
      </c>
      <c r="I137" s="6">
        <v>46242.625</v>
      </c>
      <c r="J137" s="6">
        <v>46242.527777777781</v>
      </c>
      <c r="K137" s="1" t="s">
        <v>66</v>
      </c>
      <c r="L137" s="1" t="s">
        <v>35</v>
      </c>
      <c r="M137" s="6">
        <v>46242.416666666664</v>
      </c>
      <c r="N137" s="6">
        <v>46242.548611111109</v>
      </c>
      <c r="O137" s="1">
        <v>0</v>
      </c>
      <c r="P137" s="1">
        <v>4</v>
      </c>
      <c r="Q137" s="5">
        <f t="shared" si="14"/>
        <v>0</v>
      </c>
      <c r="R137" s="5">
        <f t="shared" si="15"/>
        <v>1</v>
      </c>
      <c r="S137" s="5">
        <f t="shared" si="16"/>
        <v>1</v>
      </c>
      <c r="T137" s="5">
        <f t="shared" si="17"/>
        <v>1</v>
      </c>
      <c r="U137" s="5">
        <f t="shared" si="18"/>
        <v>0</v>
      </c>
      <c r="V137" s="5" t="str">
        <f t="shared" si="19"/>
        <v>派单超时</v>
      </c>
      <c r="W137" s="5">
        <f t="shared" si="20"/>
        <v>1</v>
      </c>
    </row>
    <row r="138" spans="1:23" ht="17.25" customHeight="1">
      <c r="A138" s="1" t="s">
        <v>204</v>
      </c>
      <c r="B138" s="1" t="s">
        <v>22</v>
      </c>
      <c r="C138" s="1" t="s">
        <v>25</v>
      </c>
      <c r="D138" s="1" t="s">
        <v>31</v>
      </c>
      <c r="E138" s="6">
        <v>46240.475694444445</v>
      </c>
      <c r="F138" s="6">
        <v>46240.627083333333</v>
      </c>
      <c r="G138" s="6">
        <v>46242.416666666664</v>
      </c>
      <c r="H138" s="6">
        <v>46242.365972222222</v>
      </c>
      <c r="I138" s="6">
        <v>46242.625</v>
      </c>
      <c r="J138" s="6">
        <v>46242.45</v>
      </c>
      <c r="K138" s="1" t="s">
        <v>66</v>
      </c>
      <c r="L138" s="1" t="s">
        <v>34</v>
      </c>
      <c r="M138" s="6"/>
      <c r="N138" s="6"/>
      <c r="O138" s="1">
        <v>0</v>
      </c>
      <c r="P138" s="1"/>
      <c r="Q138" s="5">
        <f t="shared" si="14"/>
        <v>1</v>
      </c>
      <c r="R138" s="5">
        <f t="shared" si="15"/>
        <v>1</v>
      </c>
      <c r="S138" s="5">
        <f t="shared" si="16"/>
        <v>0</v>
      </c>
      <c r="T138" s="5">
        <f t="shared" si="17"/>
        <v>0</v>
      </c>
      <c r="U138" s="5">
        <f t="shared" si="18"/>
        <v>0</v>
      </c>
      <c r="V138" s="5" t="str">
        <f t="shared" si="19"/>
        <v>无</v>
      </c>
      <c r="W138" s="5">
        <f t="shared" si="20"/>
        <v>1</v>
      </c>
    </row>
    <row r="139" spans="1:23" ht="17.25" customHeight="1">
      <c r="A139" s="1" t="s">
        <v>205</v>
      </c>
      <c r="B139" s="1" t="s">
        <v>21</v>
      </c>
      <c r="C139" s="1" t="s">
        <v>25</v>
      </c>
      <c r="D139" s="1" t="s">
        <v>30</v>
      </c>
      <c r="E139" s="6">
        <v>46240.5</v>
      </c>
      <c r="F139" s="6">
        <v>46240.521527777775</v>
      </c>
      <c r="G139" s="6">
        <v>46241.5</v>
      </c>
      <c r="H139" s="6">
        <v>46241.492361111108</v>
      </c>
      <c r="I139" s="6">
        <v>46241.708333333336</v>
      </c>
      <c r="J139" s="6">
        <v>46241.540972222225</v>
      </c>
      <c r="K139" s="1" t="s">
        <v>66</v>
      </c>
      <c r="L139" s="1" t="s">
        <v>34</v>
      </c>
      <c r="M139" s="6"/>
      <c r="N139" s="6"/>
      <c r="O139" s="1">
        <v>0</v>
      </c>
      <c r="P139" s="1">
        <v>5</v>
      </c>
      <c r="Q139" s="5">
        <f t="shared" si="14"/>
        <v>1</v>
      </c>
      <c r="R139" s="5">
        <f t="shared" si="15"/>
        <v>1</v>
      </c>
      <c r="S139" s="5">
        <f t="shared" si="16"/>
        <v>0</v>
      </c>
      <c r="T139" s="5">
        <f t="shared" si="17"/>
        <v>0</v>
      </c>
      <c r="U139" s="5">
        <f t="shared" si="18"/>
        <v>0</v>
      </c>
      <c r="V139" s="5" t="str">
        <f t="shared" si="19"/>
        <v>无</v>
      </c>
      <c r="W139" s="5">
        <f t="shared" si="20"/>
        <v>1</v>
      </c>
    </row>
    <row r="140" spans="1:23" ht="17.25" customHeight="1">
      <c r="A140" s="1" t="s">
        <v>206</v>
      </c>
      <c r="B140" s="1" t="s">
        <v>20</v>
      </c>
      <c r="C140" s="1" t="s">
        <v>24</v>
      </c>
      <c r="D140" s="1" t="s">
        <v>27</v>
      </c>
      <c r="E140" s="6">
        <v>46240.524305555555</v>
      </c>
      <c r="F140" s="6">
        <v>46240.630555555559</v>
      </c>
      <c r="G140" s="6">
        <v>46241.625</v>
      </c>
      <c r="H140" s="6">
        <v>46241.598611111112</v>
      </c>
      <c r="I140" s="6">
        <v>46241.791666666664</v>
      </c>
      <c r="J140" s="6">
        <v>46241.633333333331</v>
      </c>
      <c r="K140" s="1" t="s">
        <v>66</v>
      </c>
      <c r="L140" s="1" t="s">
        <v>34</v>
      </c>
      <c r="M140" s="6"/>
      <c r="N140" s="6"/>
      <c r="O140" s="1">
        <v>0</v>
      </c>
      <c r="P140" s="1">
        <v>5</v>
      </c>
      <c r="Q140" s="5">
        <f t="shared" si="14"/>
        <v>1</v>
      </c>
      <c r="R140" s="5">
        <f t="shared" si="15"/>
        <v>1</v>
      </c>
      <c r="S140" s="5">
        <f t="shared" si="16"/>
        <v>0</v>
      </c>
      <c r="T140" s="5">
        <f t="shared" si="17"/>
        <v>0</v>
      </c>
      <c r="U140" s="5">
        <f t="shared" si="18"/>
        <v>0</v>
      </c>
      <c r="V140" s="5" t="str">
        <f t="shared" si="19"/>
        <v>无</v>
      </c>
      <c r="W140" s="5">
        <f t="shared" si="20"/>
        <v>1</v>
      </c>
    </row>
    <row r="141" spans="1:23" ht="17.25" customHeight="1">
      <c r="A141" s="1" t="s">
        <v>207</v>
      </c>
      <c r="B141" s="1" t="s">
        <v>20</v>
      </c>
      <c r="C141" s="1" t="s">
        <v>24</v>
      </c>
      <c r="D141" s="1" t="s">
        <v>28</v>
      </c>
      <c r="E141" s="6">
        <v>46240.534722222219</v>
      </c>
      <c r="F141" s="6">
        <v>46240.613194444442</v>
      </c>
      <c r="G141" s="6">
        <v>46241.5</v>
      </c>
      <c r="H141" s="6">
        <v>46241.491666666669</v>
      </c>
      <c r="I141" s="6">
        <v>46241.666666666664</v>
      </c>
      <c r="J141" s="6">
        <v>46241.53125</v>
      </c>
      <c r="K141" s="1" t="s">
        <v>66</v>
      </c>
      <c r="L141" s="1" t="s">
        <v>34</v>
      </c>
      <c r="M141" s="6"/>
      <c r="N141" s="6"/>
      <c r="O141" s="1">
        <v>0</v>
      </c>
      <c r="P141" s="1">
        <v>4</v>
      </c>
      <c r="Q141" s="5">
        <f t="shared" si="14"/>
        <v>1</v>
      </c>
      <c r="R141" s="5">
        <f t="shared" si="15"/>
        <v>1</v>
      </c>
      <c r="S141" s="5">
        <f t="shared" si="16"/>
        <v>0</v>
      </c>
      <c r="T141" s="5">
        <f t="shared" si="17"/>
        <v>0</v>
      </c>
      <c r="U141" s="5">
        <f t="shared" si="18"/>
        <v>0</v>
      </c>
      <c r="V141" s="5" t="str">
        <f t="shared" si="19"/>
        <v>无</v>
      </c>
      <c r="W141" s="5">
        <f t="shared" si="20"/>
        <v>1</v>
      </c>
    </row>
    <row r="142" spans="1:23" ht="17.25" customHeight="1">
      <c r="A142" s="1" t="s">
        <v>208</v>
      </c>
      <c r="B142" s="1" t="s">
        <v>21</v>
      </c>
      <c r="C142" s="1" t="s">
        <v>25</v>
      </c>
      <c r="D142" s="1" t="s">
        <v>29</v>
      </c>
      <c r="E142" s="6">
        <v>46240.541666666664</v>
      </c>
      <c r="F142" s="6">
        <v>46240.571527777778</v>
      </c>
      <c r="G142" s="6">
        <v>46242.708333333336</v>
      </c>
      <c r="H142" s="6">
        <v>46242.685416666667</v>
      </c>
      <c r="I142" s="6">
        <v>46242.916666666664</v>
      </c>
      <c r="J142" s="6">
        <v>46242.759722222225</v>
      </c>
      <c r="K142" s="1" t="s">
        <v>66</v>
      </c>
      <c r="L142" s="1" t="s">
        <v>34</v>
      </c>
      <c r="M142" s="6"/>
      <c r="N142" s="6"/>
      <c r="O142" s="1">
        <v>0</v>
      </c>
      <c r="P142" s="1">
        <v>5</v>
      </c>
      <c r="Q142" s="5">
        <f t="shared" si="14"/>
        <v>1</v>
      </c>
      <c r="R142" s="5">
        <f t="shared" si="15"/>
        <v>1</v>
      </c>
      <c r="S142" s="5">
        <f t="shared" si="16"/>
        <v>0</v>
      </c>
      <c r="T142" s="5">
        <f t="shared" si="17"/>
        <v>0</v>
      </c>
      <c r="U142" s="5">
        <f t="shared" si="18"/>
        <v>0</v>
      </c>
      <c r="V142" s="5" t="str">
        <f t="shared" si="19"/>
        <v>无</v>
      </c>
      <c r="W142" s="5">
        <f t="shared" si="20"/>
        <v>1</v>
      </c>
    </row>
    <row r="143" spans="1:23" ht="17.25" customHeight="1">
      <c r="A143" s="1" t="s">
        <v>209</v>
      </c>
      <c r="B143" s="1" t="s">
        <v>21</v>
      </c>
      <c r="C143" s="1" t="s">
        <v>26</v>
      </c>
      <c r="D143" s="1" t="s">
        <v>29</v>
      </c>
      <c r="E143" s="6">
        <v>46240.545138888891</v>
      </c>
      <c r="F143" s="6">
        <v>46242.770138888889</v>
      </c>
      <c r="G143" s="6">
        <v>46242.708333333336</v>
      </c>
      <c r="H143" s="6">
        <v>46242.832638888889</v>
      </c>
      <c r="I143" s="6">
        <v>46242.833333333336</v>
      </c>
      <c r="J143" s="6">
        <v>46242.890972222223</v>
      </c>
      <c r="K143" s="1" t="s">
        <v>66</v>
      </c>
      <c r="L143" s="1" t="s">
        <v>35</v>
      </c>
      <c r="M143" s="6">
        <v>46242.708333333336</v>
      </c>
      <c r="N143" s="6">
        <v>46243.043749999997</v>
      </c>
      <c r="O143" s="1">
        <v>0</v>
      </c>
      <c r="P143" s="1">
        <v>2</v>
      </c>
      <c r="Q143" s="5">
        <f t="shared" si="14"/>
        <v>0</v>
      </c>
      <c r="R143" s="5">
        <f t="shared" si="15"/>
        <v>0</v>
      </c>
      <c r="S143" s="5">
        <f t="shared" si="16"/>
        <v>1</v>
      </c>
      <c r="T143" s="5">
        <f t="shared" si="17"/>
        <v>1</v>
      </c>
      <c r="U143" s="5">
        <f t="shared" si="18"/>
        <v>0</v>
      </c>
      <c r="V143" s="5" t="str">
        <f t="shared" si="19"/>
        <v>派单超时</v>
      </c>
      <c r="W143" s="5">
        <f t="shared" si="20"/>
        <v>1</v>
      </c>
    </row>
    <row r="144" spans="1:23" ht="17.25" customHeight="1">
      <c r="A144" s="1" t="s">
        <v>210</v>
      </c>
      <c r="B144" s="1" t="s">
        <v>20</v>
      </c>
      <c r="C144" s="1" t="s">
        <v>25</v>
      </c>
      <c r="D144" s="1" t="s">
        <v>27</v>
      </c>
      <c r="E144" s="6">
        <v>46240.590277777781</v>
      </c>
      <c r="F144" s="6">
        <v>46240.70208333333</v>
      </c>
      <c r="G144" s="6">
        <v>46241.625</v>
      </c>
      <c r="H144" s="6">
        <v>46241.609027777777</v>
      </c>
      <c r="I144" s="6">
        <v>46241.833333333336</v>
      </c>
      <c r="J144" s="6">
        <v>46241.691666666666</v>
      </c>
      <c r="K144" s="1" t="s">
        <v>66</v>
      </c>
      <c r="L144" s="1" t="s">
        <v>34</v>
      </c>
      <c r="M144" s="6"/>
      <c r="N144" s="6"/>
      <c r="O144" s="1">
        <v>0</v>
      </c>
      <c r="P144" s="1">
        <v>5</v>
      </c>
      <c r="Q144" s="5">
        <f t="shared" si="14"/>
        <v>1</v>
      </c>
      <c r="R144" s="5">
        <f t="shared" si="15"/>
        <v>1</v>
      </c>
      <c r="S144" s="5">
        <f t="shared" si="16"/>
        <v>0</v>
      </c>
      <c r="T144" s="5">
        <f t="shared" si="17"/>
        <v>0</v>
      </c>
      <c r="U144" s="5">
        <f t="shared" si="18"/>
        <v>0</v>
      </c>
      <c r="V144" s="5" t="str">
        <f t="shared" si="19"/>
        <v>无</v>
      </c>
      <c r="W144" s="5">
        <f t="shared" si="20"/>
        <v>1</v>
      </c>
    </row>
    <row r="145" spans="1:23" ht="17.25" customHeight="1">
      <c r="A145" s="1" t="s">
        <v>211</v>
      </c>
      <c r="B145" s="1" t="s">
        <v>21</v>
      </c>
      <c r="C145" s="1" t="s">
        <v>25</v>
      </c>
      <c r="D145" s="1" t="s">
        <v>30</v>
      </c>
      <c r="E145" s="6">
        <v>46240.645833333336</v>
      </c>
      <c r="F145" s="6">
        <v>46240.729861111111</v>
      </c>
      <c r="G145" s="6">
        <v>46241.625</v>
      </c>
      <c r="H145" s="6">
        <v>46241.59375</v>
      </c>
      <c r="I145" s="6">
        <v>46241.833333333336</v>
      </c>
      <c r="J145" s="6">
        <v>46241.673611111109</v>
      </c>
      <c r="K145" s="1" t="s">
        <v>66</v>
      </c>
      <c r="L145" s="1" t="s">
        <v>34</v>
      </c>
      <c r="M145" s="6"/>
      <c r="N145" s="6"/>
      <c r="O145" s="1">
        <v>0</v>
      </c>
      <c r="P145" s="1">
        <v>5</v>
      </c>
      <c r="Q145" s="5">
        <f t="shared" si="14"/>
        <v>1</v>
      </c>
      <c r="R145" s="5">
        <f t="shared" si="15"/>
        <v>1</v>
      </c>
      <c r="S145" s="5">
        <f t="shared" si="16"/>
        <v>0</v>
      </c>
      <c r="T145" s="5">
        <f t="shared" si="17"/>
        <v>0</v>
      </c>
      <c r="U145" s="5">
        <f t="shared" si="18"/>
        <v>0</v>
      </c>
      <c r="V145" s="5" t="str">
        <f t="shared" si="19"/>
        <v>无</v>
      </c>
      <c r="W145" s="5">
        <f t="shared" si="20"/>
        <v>1</v>
      </c>
    </row>
    <row r="146" spans="1:23" ht="17.25" customHeight="1">
      <c r="A146" s="1" t="s">
        <v>212</v>
      </c>
      <c r="B146" s="1" t="s">
        <v>20</v>
      </c>
      <c r="C146" s="1" t="s">
        <v>24</v>
      </c>
      <c r="D146" s="1" t="s">
        <v>27</v>
      </c>
      <c r="E146" s="6">
        <v>46240.673611111109</v>
      </c>
      <c r="F146" s="6">
        <v>46240.82916666667</v>
      </c>
      <c r="G146" s="6">
        <v>46242.625</v>
      </c>
      <c r="H146" s="6">
        <v>46242.69027777778</v>
      </c>
      <c r="I146" s="6">
        <v>46242.791666666664</v>
      </c>
      <c r="J146" s="6">
        <v>46242.774305555555</v>
      </c>
      <c r="K146" s="1" t="s">
        <v>66</v>
      </c>
      <c r="L146" s="1" t="s">
        <v>36</v>
      </c>
      <c r="M146" s="6">
        <v>46242.625</v>
      </c>
      <c r="N146" s="6"/>
      <c r="O146" s="1">
        <v>0</v>
      </c>
      <c r="P146" s="1">
        <v>2</v>
      </c>
      <c r="Q146" s="5">
        <f t="shared" si="14"/>
        <v>0</v>
      </c>
      <c r="R146" s="5">
        <f t="shared" si="15"/>
        <v>1</v>
      </c>
      <c r="S146" s="5">
        <f t="shared" si="16"/>
        <v>1</v>
      </c>
      <c r="T146" s="5">
        <f t="shared" si="17"/>
        <v>0</v>
      </c>
      <c r="U146" s="5">
        <f t="shared" si="18"/>
        <v>1</v>
      </c>
      <c r="V146" s="5" t="str">
        <f t="shared" si="19"/>
        <v>上门超时</v>
      </c>
      <c r="W146" s="5">
        <f t="shared" si="20"/>
        <v>1</v>
      </c>
    </row>
    <row r="147" spans="1:23" ht="17.25" customHeight="1">
      <c r="A147" s="1" t="s">
        <v>213</v>
      </c>
      <c r="B147" s="1" t="s">
        <v>20</v>
      </c>
      <c r="C147" s="1" t="s">
        <v>25</v>
      </c>
      <c r="D147" s="1" t="s">
        <v>27</v>
      </c>
      <c r="E147" s="6">
        <v>46240.6875</v>
      </c>
      <c r="F147" s="6">
        <v>46240.799305555556</v>
      </c>
      <c r="G147" s="6">
        <v>46242.708333333336</v>
      </c>
      <c r="H147" s="6">
        <v>46242.6875</v>
      </c>
      <c r="I147" s="6">
        <v>46242.916666666664</v>
      </c>
      <c r="J147" s="6">
        <v>46242.78125</v>
      </c>
      <c r="K147" s="1" t="s">
        <v>66</v>
      </c>
      <c r="L147" s="1" t="s">
        <v>34</v>
      </c>
      <c r="M147" s="6"/>
      <c r="N147" s="6"/>
      <c r="O147" s="1">
        <v>0</v>
      </c>
      <c r="P147" s="1">
        <v>4</v>
      </c>
      <c r="Q147" s="5">
        <f t="shared" si="14"/>
        <v>1</v>
      </c>
      <c r="R147" s="5">
        <f t="shared" si="15"/>
        <v>1</v>
      </c>
      <c r="S147" s="5">
        <f t="shared" si="16"/>
        <v>0</v>
      </c>
      <c r="T147" s="5">
        <f t="shared" si="17"/>
        <v>0</v>
      </c>
      <c r="U147" s="5">
        <f t="shared" si="18"/>
        <v>0</v>
      </c>
      <c r="V147" s="5" t="str">
        <f t="shared" si="19"/>
        <v>无</v>
      </c>
      <c r="W147" s="5">
        <f t="shared" si="20"/>
        <v>1</v>
      </c>
    </row>
    <row r="148" spans="1:23" ht="17.25" customHeight="1">
      <c r="A148" s="1" t="s">
        <v>214</v>
      </c>
      <c r="B148" s="1" t="s">
        <v>21</v>
      </c>
      <c r="C148" s="1" t="s">
        <v>24</v>
      </c>
      <c r="D148" s="1" t="s">
        <v>29</v>
      </c>
      <c r="E148" s="6">
        <v>46240.690972222219</v>
      </c>
      <c r="F148" s="6">
        <v>46240.792361111111</v>
      </c>
      <c r="G148" s="6">
        <v>46243.416666666664</v>
      </c>
      <c r="H148" s="6">
        <v>46243.394444444442</v>
      </c>
      <c r="I148" s="6">
        <v>46243.583333333336</v>
      </c>
      <c r="J148" s="6">
        <v>46243.435416666667</v>
      </c>
      <c r="K148" s="1" t="s">
        <v>66</v>
      </c>
      <c r="L148" s="1" t="s">
        <v>34</v>
      </c>
      <c r="M148" s="6"/>
      <c r="N148" s="6"/>
      <c r="O148" s="1">
        <v>0</v>
      </c>
      <c r="P148" s="1">
        <v>4</v>
      </c>
      <c r="Q148" s="5">
        <f t="shared" si="14"/>
        <v>1</v>
      </c>
      <c r="R148" s="5">
        <f t="shared" si="15"/>
        <v>1</v>
      </c>
      <c r="S148" s="5">
        <f t="shared" si="16"/>
        <v>0</v>
      </c>
      <c r="T148" s="5">
        <f t="shared" si="17"/>
        <v>0</v>
      </c>
      <c r="U148" s="5">
        <f t="shared" si="18"/>
        <v>0</v>
      </c>
      <c r="V148" s="5" t="str">
        <f t="shared" si="19"/>
        <v>无</v>
      </c>
      <c r="W148" s="5">
        <f t="shared" si="20"/>
        <v>1</v>
      </c>
    </row>
    <row r="149" spans="1:23" ht="17.25" customHeight="1">
      <c r="A149" s="1" t="s">
        <v>215</v>
      </c>
      <c r="B149" s="1" t="s">
        <v>20</v>
      </c>
      <c r="C149" s="1" t="s">
        <v>24</v>
      </c>
      <c r="D149" s="1" t="s">
        <v>27</v>
      </c>
      <c r="E149" s="6">
        <v>46240.694444444445</v>
      </c>
      <c r="F149" s="6">
        <v>46240.75</v>
      </c>
      <c r="G149" s="6">
        <v>46241.5</v>
      </c>
      <c r="H149" s="6">
        <v>46241.463194444441</v>
      </c>
      <c r="I149" s="6">
        <v>46241.666666666664</v>
      </c>
      <c r="J149" s="6">
        <v>46241.499305555553</v>
      </c>
      <c r="K149" s="1" t="s">
        <v>66</v>
      </c>
      <c r="L149" s="1" t="s">
        <v>34</v>
      </c>
      <c r="M149" s="6"/>
      <c r="N149" s="6"/>
      <c r="O149" s="1">
        <v>0</v>
      </c>
      <c r="P149" s="1">
        <v>5</v>
      </c>
      <c r="Q149" s="5">
        <f t="shared" si="14"/>
        <v>1</v>
      </c>
      <c r="R149" s="5">
        <f t="shared" si="15"/>
        <v>1</v>
      </c>
      <c r="S149" s="5">
        <f t="shared" si="16"/>
        <v>0</v>
      </c>
      <c r="T149" s="5">
        <f t="shared" si="17"/>
        <v>0</v>
      </c>
      <c r="U149" s="5">
        <f t="shared" si="18"/>
        <v>0</v>
      </c>
      <c r="V149" s="5" t="str">
        <f t="shared" si="19"/>
        <v>无</v>
      </c>
      <c r="W149" s="5">
        <f t="shared" si="20"/>
        <v>1</v>
      </c>
    </row>
    <row r="150" spans="1:23" ht="17.25" customHeight="1">
      <c r="A150" s="1" t="s">
        <v>216</v>
      </c>
      <c r="B150" s="1" t="s">
        <v>21</v>
      </c>
      <c r="C150" s="1" t="s">
        <v>25</v>
      </c>
      <c r="D150" s="1" t="s">
        <v>30</v>
      </c>
      <c r="E150" s="6">
        <v>46240.701388888891</v>
      </c>
      <c r="F150" s="6">
        <v>46240.756944444445</v>
      </c>
      <c r="G150" s="6">
        <v>46241.708333333336</v>
      </c>
      <c r="H150" s="6">
        <v>46241.698611111111</v>
      </c>
      <c r="I150" s="6">
        <v>46241.916666666664</v>
      </c>
      <c r="J150" s="6">
        <v>46241.802777777775</v>
      </c>
      <c r="K150" s="1" t="s">
        <v>66</v>
      </c>
      <c r="L150" s="1" t="s">
        <v>34</v>
      </c>
      <c r="M150" s="6"/>
      <c r="N150" s="6"/>
      <c r="O150" s="1">
        <v>0</v>
      </c>
      <c r="P150" s="1">
        <v>5</v>
      </c>
      <c r="Q150" s="5">
        <f t="shared" si="14"/>
        <v>1</v>
      </c>
      <c r="R150" s="5">
        <f t="shared" si="15"/>
        <v>1</v>
      </c>
      <c r="S150" s="5">
        <f t="shared" si="16"/>
        <v>0</v>
      </c>
      <c r="T150" s="5">
        <f t="shared" si="17"/>
        <v>0</v>
      </c>
      <c r="U150" s="5">
        <f t="shared" si="18"/>
        <v>0</v>
      </c>
      <c r="V150" s="5" t="str">
        <f t="shared" si="19"/>
        <v>无</v>
      </c>
      <c r="W150" s="5">
        <f t="shared" si="20"/>
        <v>1</v>
      </c>
    </row>
    <row r="151" spans="1:23" ht="17.25" customHeight="1">
      <c r="A151" s="1" t="s">
        <v>217</v>
      </c>
      <c r="B151" s="1" t="s">
        <v>20</v>
      </c>
      <c r="C151" s="1" t="s">
        <v>26</v>
      </c>
      <c r="D151" s="1" t="s">
        <v>28</v>
      </c>
      <c r="E151" s="6">
        <v>46240.71875</v>
      </c>
      <c r="F151" s="6">
        <v>46240.796527777777</v>
      </c>
      <c r="G151" s="6">
        <v>46241.625</v>
      </c>
      <c r="H151" s="6">
        <v>46241.594444444447</v>
      </c>
      <c r="I151" s="6">
        <v>46241.75</v>
      </c>
      <c r="J151" s="6">
        <v>46241.649305555555</v>
      </c>
      <c r="K151" s="1" t="s">
        <v>66</v>
      </c>
      <c r="L151" s="1" t="s">
        <v>34</v>
      </c>
      <c r="M151" s="6"/>
      <c r="N151" s="6"/>
      <c r="O151" s="1">
        <v>0</v>
      </c>
      <c r="P151" s="1">
        <v>5</v>
      </c>
      <c r="Q151" s="5">
        <f t="shared" si="14"/>
        <v>1</v>
      </c>
      <c r="R151" s="5">
        <f t="shared" si="15"/>
        <v>1</v>
      </c>
      <c r="S151" s="5">
        <f t="shared" si="16"/>
        <v>0</v>
      </c>
      <c r="T151" s="5">
        <f t="shared" si="17"/>
        <v>0</v>
      </c>
      <c r="U151" s="5">
        <f t="shared" si="18"/>
        <v>0</v>
      </c>
      <c r="V151" s="5" t="str">
        <f t="shared" si="19"/>
        <v>无</v>
      </c>
      <c r="W151" s="5">
        <f t="shared" si="20"/>
        <v>1</v>
      </c>
    </row>
    <row r="152" spans="1:23" ht="17.25" customHeight="1">
      <c r="A152" s="1" t="s">
        <v>218</v>
      </c>
      <c r="B152" s="1" t="s">
        <v>21</v>
      </c>
      <c r="C152" s="1" t="s">
        <v>25</v>
      </c>
      <c r="D152" s="1" t="s">
        <v>30</v>
      </c>
      <c r="E152" s="6">
        <v>46240.739583333336</v>
      </c>
      <c r="F152" s="6">
        <v>46240.824999999997</v>
      </c>
      <c r="G152" s="6">
        <v>46241.625</v>
      </c>
      <c r="H152" s="6">
        <v>46241.582638888889</v>
      </c>
      <c r="I152" s="6">
        <v>46241.833333333336</v>
      </c>
      <c r="J152" s="6">
        <v>46241.633333333331</v>
      </c>
      <c r="K152" s="1" t="s">
        <v>66</v>
      </c>
      <c r="L152" s="1" t="s">
        <v>34</v>
      </c>
      <c r="M152" s="6"/>
      <c r="N152" s="6"/>
      <c r="O152" s="1">
        <v>0</v>
      </c>
      <c r="P152" s="1">
        <v>5</v>
      </c>
      <c r="Q152" s="5">
        <f t="shared" si="14"/>
        <v>1</v>
      </c>
      <c r="R152" s="5">
        <f t="shared" si="15"/>
        <v>1</v>
      </c>
      <c r="S152" s="5">
        <f t="shared" si="16"/>
        <v>0</v>
      </c>
      <c r="T152" s="5">
        <f t="shared" si="17"/>
        <v>0</v>
      </c>
      <c r="U152" s="5">
        <f t="shared" si="18"/>
        <v>0</v>
      </c>
      <c r="V152" s="5" t="str">
        <f t="shared" si="19"/>
        <v>无</v>
      </c>
      <c r="W152" s="5">
        <f t="shared" si="20"/>
        <v>1</v>
      </c>
    </row>
    <row r="153" spans="1:23" ht="17.25" customHeight="1">
      <c r="A153" s="1" t="s">
        <v>219</v>
      </c>
      <c r="B153" s="1" t="s">
        <v>21</v>
      </c>
      <c r="C153" s="1" t="s">
        <v>25</v>
      </c>
      <c r="D153" s="1" t="s">
        <v>29</v>
      </c>
      <c r="E153" s="6">
        <v>46240.753472222219</v>
      </c>
      <c r="F153" s="6">
        <v>46240.8125</v>
      </c>
      <c r="G153" s="6">
        <v>46241.416666666664</v>
      </c>
      <c r="H153" s="6">
        <v>46241.369444444441</v>
      </c>
      <c r="I153" s="6">
        <v>46241.625</v>
      </c>
      <c r="J153" s="6">
        <v>46241.404166666667</v>
      </c>
      <c r="K153" s="1" t="s">
        <v>66</v>
      </c>
      <c r="L153" s="1" t="s">
        <v>34</v>
      </c>
      <c r="M153" s="6"/>
      <c r="N153" s="6"/>
      <c r="O153" s="1">
        <v>0</v>
      </c>
      <c r="P153" s="1">
        <v>5</v>
      </c>
      <c r="Q153" s="5">
        <f t="shared" si="14"/>
        <v>1</v>
      </c>
      <c r="R153" s="5">
        <f t="shared" si="15"/>
        <v>1</v>
      </c>
      <c r="S153" s="5">
        <f t="shared" si="16"/>
        <v>0</v>
      </c>
      <c r="T153" s="5">
        <f t="shared" si="17"/>
        <v>0</v>
      </c>
      <c r="U153" s="5">
        <f t="shared" si="18"/>
        <v>0</v>
      </c>
      <c r="V153" s="5" t="str">
        <f t="shared" si="19"/>
        <v>无</v>
      </c>
      <c r="W153" s="5">
        <f t="shared" si="20"/>
        <v>1</v>
      </c>
    </row>
    <row r="154" spans="1:23" ht="17.25" customHeight="1">
      <c r="A154" s="1" t="s">
        <v>220</v>
      </c>
      <c r="B154" s="1" t="s">
        <v>20</v>
      </c>
      <c r="C154" s="1" t="s">
        <v>26</v>
      </c>
      <c r="D154" s="1" t="s">
        <v>27</v>
      </c>
      <c r="E154" s="6">
        <v>46240.770833333336</v>
      </c>
      <c r="F154" s="6">
        <v>46240.824305555558</v>
      </c>
      <c r="G154" s="6">
        <v>46241.416666666664</v>
      </c>
      <c r="H154" s="6">
        <v>46241.486805555556</v>
      </c>
      <c r="I154" s="6">
        <v>46241.541666666664</v>
      </c>
      <c r="J154" s="6">
        <v>46241.53402777778</v>
      </c>
      <c r="K154" s="1" t="s">
        <v>66</v>
      </c>
      <c r="L154" s="1" t="s">
        <v>36</v>
      </c>
      <c r="M154" s="6">
        <v>46241.416666666664</v>
      </c>
      <c r="N154" s="6"/>
      <c r="O154" s="1">
        <v>0</v>
      </c>
      <c r="P154" s="1">
        <v>2</v>
      </c>
      <c r="Q154" s="5">
        <f t="shared" si="14"/>
        <v>0</v>
      </c>
      <c r="R154" s="5">
        <f t="shared" si="15"/>
        <v>1</v>
      </c>
      <c r="S154" s="5">
        <f t="shared" si="16"/>
        <v>1</v>
      </c>
      <c r="T154" s="5">
        <f t="shared" si="17"/>
        <v>0</v>
      </c>
      <c r="U154" s="5">
        <f t="shared" si="18"/>
        <v>1</v>
      </c>
      <c r="V154" s="5" t="str">
        <f t="shared" si="19"/>
        <v>上门超时</v>
      </c>
      <c r="W154" s="5">
        <f t="shared" si="20"/>
        <v>1</v>
      </c>
    </row>
    <row r="155" spans="1:23" ht="17.25" customHeight="1">
      <c r="A155" s="1" t="s">
        <v>221</v>
      </c>
      <c r="B155" s="1" t="s">
        <v>22</v>
      </c>
      <c r="C155" s="1" t="s">
        <v>25</v>
      </c>
      <c r="D155" s="1" t="s">
        <v>31</v>
      </c>
      <c r="E155" s="6">
        <v>46240.770833333336</v>
      </c>
      <c r="F155" s="6">
        <v>46240.796527777777</v>
      </c>
      <c r="G155" s="6">
        <v>46241.5</v>
      </c>
      <c r="H155" s="6">
        <v>46241.484722222223</v>
      </c>
      <c r="I155" s="6">
        <v>46241.708333333336</v>
      </c>
      <c r="J155" s="6">
        <v>46241.572916666664</v>
      </c>
      <c r="K155" s="1" t="s">
        <v>66</v>
      </c>
      <c r="L155" s="1" t="s">
        <v>34</v>
      </c>
      <c r="M155" s="6"/>
      <c r="N155" s="6"/>
      <c r="O155" s="1">
        <v>0</v>
      </c>
      <c r="P155" s="1">
        <v>5</v>
      </c>
      <c r="Q155" s="5">
        <f t="shared" si="14"/>
        <v>1</v>
      </c>
      <c r="R155" s="5">
        <f t="shared" si="15"/>
        <v>1</v>
      </c>
      <c r="S155" s="5">
        <f t="shared" si="16"/>
        <v>0</v>
      </c>
      <c r="T155" s="5">
        <f t="shared" si="17"/>
        <v>0</v>
      </c>
      <c r="U155" s="5">
        <f t="shared" si="18"/>
        <v>0</v>
      </c>
      <c r="V155" s="5" t="str">
        <f t="shared" si="19"/>
        <v>无</v>
      </c>
      <c r="W155" s="5">
        <f t="shared" si="20"/>
        <v>1</v>
      </c>
    </row>
    <row r="156" spans="1:23" ht="17.25" customHeight="1">
      <c r="A156" s="1" t="s">
        <v>222</v>
      </c>
      <c r="B156" s="1" t="s">
        <v>21</v>
      </c>
      <c r="C156" s="1" t="s">
        <v>25</v>
      </c>
      <c r="D156" s="1" t="s">
        <v>29</v>
      </c>
      <c r="E156" s="6">
        <v>46240.770833333336</v>
      </c>
      <c r="F156" s="6">
        <v>46240.86041666667</v>
      </c>
      <c r="G156" s="6">
        <v>46243.416666666664</v>
      </c>
      <c r="H156" s="6">
        <v>46243.40625</v>
      </c>
      <c r="I156" s="6">
        <v>46243.625</v>
      </c>
      <c r="J156" s="6">
        <v>46243.455555555556</v>
      </c>
      <c r="K156" s="1" t="s">
        <v>66</v>
      </c>
      <c r="L156" s="1" t="s">
        <v>34</v>
      </c>
      <c r="M156" s="6"/>
      <c r="N156" s="6"/>
      <c r="O156" s="1">
        <v>0</v>
      </c>
      <c r="P156" s="1">
        <v>4</v>
      </c>
      <c r="Q156" s="5">
        <f t="shared" si="14"/>
        <v>1</v>
      </c>
      <c r="R156" s="5">
        <f t="shared" si="15"/>
        <v>1</v>
      </c>
      <c r="S156" s="5">
        <f t="shared" si="16"/>
        <v>0</v>
      </c>
      <c r="T156" s="5">
        <f t="shared" si="17"/>
        <v>0</v>
      </c>
      <c r="U156" s="5">
        <f t="shared" si="18"/>
        <v>0</v>
      </c>
      <c r="V156" s="5" t="str">
        <f t="shared" si="19"/>
        <v>无</v>
      </c>
      <c r="W156" s="5">
        <f t="shared" si="20"/>
        <v>1</v>
      </c>
    </row>
    <row r="157" spans="1:23" ht="17.25" customHeight="1">
      <c r="A157" s="1" t="s">
        <v>223</v>
      </c>
      <c r="B157" s="1" t="s">
        <v>21</v>
      </c>
      <c r="C157" s="1" t="s">
        <v>24</v>
      </c>
      <c r="D157" s="1" t="s">
        <v>30</v>
      </c>
      <c r="E157" s="6">
        <v>46241.333333333336</v>
      </c>
      <c r="F157" s="6">
        <v>46241.426388888889</v>
      </c>
      <c r="G157" s="6">
        <v>46242.625</v>
      </c>
      <c r="H157" s="6">
        <v>46242.586805555555</v>
      </c>
      <c r="I157" s="6">
        <v>46242.791666666664</v>
      </c>
      <c r="J157" s="6">
        <v>46242.649305555555</v>
      </c>
      <c r="K157" s="1" t="s">
        <v>66</v>
      </c>
      <c r="L157" s="1" t="s">
        <v>34</v>
      </c>
      <c r="M157" s="6"/>
      <c r="N157" s="6"/>
      <c r="O157" s="1">
        <v>0</v>
      </c>
      <c r="P157" s="1">
        <v>5</v>
      </c>
      <c r="Q157" s="5">
        <f t="shared" si="14"/>
        <v>1</v>
      </c>
      <c r="R157" s="5">
        <f t="shared" si="15"/>
        <v>1</v>
      </c>
      <c r="S157" s="5">
        <f t="shared" si="16"/>
        <v>0</v>
      </c>
      <c r="T157" s="5">
        <f t="shared" si="17"/>
        <v>0</v>
      </c>
      <c r="U157" s="5">
        <f t="shared" si="18"/>
        <v>0</v>
      </c>
      <c r="V157" s="5" t="str">
        <f t="shared" si="19"/>
        <v>无</v>
      </c>
      <c r="W157" s="5">
        <f t="shared" si="20"/>
        <v>1</v>
      </c>
    </row>
    <row r="158" spans="1:23" ht="17.25" customHeight="1">
      <c r="A158" s="1" t="s">
        <v>224</v>
      </c>
      <c r="B158" s="1" t="s">
        <v>22</v>
      </c>
      <c r="C158" s="1" t="s">
        <v>24</v>
      </c>
      <c r="D158" s="1" t="s">
        <v>31</v>
      </c>
      <c r="E158" s="6">
        <v>46241.375</v>
      </c>
      <c r="F158" s="6">
        <v>46241.50277777778</v>
      </c>
      <c r="G158" s="6">
        <v>46242.5</v>
      </c>
      <c r="H158" s="6">
        <v>46242.456944444442</v>
      </c>
      <c r="I158" s="6">
        <v>46242.666666666664</v>
      </c>
      <c r="J158" s="6">
        <v>46242.559027777781</v>
      </c>
      <c r="K158" s="1" t="s">
        <v>66</v>
      </c>
      <c r="L158" s="1" t="s">
        <v>34</v>
      </c>
      <c r="M158" s="6"/>
      <c r="N158" s="6"/>
      <c r="O158" s="1">
        <v>0</v>
      </c>
      <c r="P158" s="1">
        <v>5</v>
      </c>
      <c r="Q158" s="5">
        <f t="shared" si="14"/>
        <v>1</v>
      </c>
      <c r="R158" s="5">
        <f t="shared" si="15"/>
        <v>1</v>
      </c>
      <c r="S158" s="5">
        <f t="shared" si="16"/>
        <v>0</v>
      </c>
      <c r="T158" s="5">
        <f t="shared" si="17"/>
        <v>0</v>
      </c>
      <c r="U158" s="5">
        <f t="shared" si="18"/>
        <v>0</v>
      </c>
      <c r="V158" s="5" t="str">
        <f t="shared" si="19"/>
        <v>无</v>
      </c>
      <c r="W158" s="5">
        <f t="shared" si="20"/>
        <v>1</v>
      </c>
    </row>
    <row r="159" spans="1:23" ht="17.25" customHeight="1">
      <c r="A159" s="1" t="s">
        <v>225</v>
      </c>
      <c r="B159" s="1" t="s">
        <v>21</v>
      </c>
      <c r="C159" s="1" t="s">
        <v>26</v>
      </c>
      <c r="D159" s="1" t="s">
        <v>30</v>
      </c>
      <c r="E159" s="6">
        <v>46241.395833333336</v>
      </c>
      <c r="F159" s="6">
        <v>46241.457638888889</v>
      </c>
      <c r="G159" s="6">
        <v>46243.708333333336</v>
      </c>
      <c r="H159" s="6">
        <v>46243.678472222222</v>
      </c>
      <c r="I159" s="6">
        <v>46243.833333333336</v>
      </c>
      <c r="J159" s="6">
        <v>46243.772222222222</v>
      </c>
      <c r="K159" s="1" t="s">
        <v>66</v>
      </c>
      <c r="L159" s="1" t="s">
        <v>34</v>
      </c>
      <c r="M159" s="6"/>
      <c r="N159" s="6"/>
      <c r="O159" s="1">
        <v>0</v>
      </c>
      <c r="P159" s="1">
        <v>5</v>
      </c>
      <c r="Q159" s="5">
        <f t="shared" si="14"/>
        <v>1</v>
      </c>
      <c r="R159" s="5">
        <f t="shared" si="15"/>
        <v>1</v>
      </c>
      <c r="S159" s="5">
        <f t="shared" si="16"/>
        <v>0</v>
      </c>
      <c r="T159" s="5">
        <f t="shared" si="17"/>
        <v>0</v>
      </c>
      <c r="U159" s="5">
        <f t="shared" si="18"/>
        <v>0</v>
      </c>
      <c r="V159" s="5" t="str">
        <f t="shared" si="19"/>
        <v>无</v>
      </c>
      <c r="W159" s="5">
        <f t="shared" si="20"/>
        <v>1</v>
      </c>
    </row>
    <row r="160" spans="1:23" ht="17.25" customHeight="1">
      <c r="A160" s="1" t="s">
        <v>226</v>
      </c>
      <c r="B160" s="1" t="s">
        <v>22</v>
      </c>
      <c r="C160" s="1" t="s">
        <v>24</v>
      </c>
      <c r="D160" s="1" t="s">
        <v>31</v>
      </c>
      <c r="E160" s="6">
        <v>46241.465277777781</v>
      </c>
      <c r="F160" s="6">
        <v>46241.575694444444</v>
      </c>
      <c r="G160" s="6">
        <v>46242.708333333336</v>
      </c>
      <c r="H160" s="6">
        <v>46242.693749999999</v>
      </c>
      <c r="I160" s="6">
        <v>46242.875</v>
      </c>
      <c r="J160" s="6">
        <v>46242.958333333336</v>
      </c>
      <c r="K160" s="1" t="s">
        <v>66</v>
      </c>
      <c r="L160" s="1" t="s">
        <v>37</v>
      </c>
      <c r="M160" s="6">
        <v>46242.875</v>
      </c>
      <c r="N160" s="6"/>
      <c r="O160" s="1">
        <v>0</v>
      </c>
      <c r="P160" s="1">
        <v>2</v>
      </c>
      <c r="Q160" s="5">
        <f t="shared" si="14"/>
        <v>1</v>
      </c>
      <c r="R160" s="5">
        <f t="shared" si="15"/>
        <v>0</v>
      </c>
      <c r="S160" s="5">
        <f t="shared" si="16"/>
        <v>1</v>
      </c>
      <c r="T160" s="5">
        <f t="shared" si="17"/>
        <v>0</v>
      </c>
      <c r="U160" s="5">
        <f t="shared" si="18"/>
        <v>1</v>
      </c>
      <c r="V160" s="5" t="str">
        <f t="shared" si="19"/>
        <v>完工超时</v>
      </c>
      <c r="W160" s="5">
        <f t="shared" si="20"/>
        <v>1</v>
      </c>
    </row>
    <row r="161" spans="1:23" ht="17.25" customHeight="1">
      <c r="A161" s="1" t="s">
        <v>227</v>
      </c>
      <c r="B161" s="1" t="s">
        <v>21</v>
      </c>
      <c r="C161" s="1" t="s">
        <v>24</v>
      </c>
      <c r="D161" s="1" t="s">
        <v>29</v>
      </c>
      <c r="E161" s="6">
        <v>46241.489583333336</v>
      </c>
      <c r="F161" s="6">
        <v>46241.625</v>
      </c>
      <c r="G161" s="6">
        <v>46242.708333333336</v>
      </c>
      <c r="H161" s="6">
        <v>46242.777083333334</v>
      </c>
      <c r="I161" s="6">
        <v>46242.875</v>
      </c>
      <c r="J161" s="6">
        <v>46242.85833333333</v>
      </c>
      <c r="K161" s="1" t="s">
        <v>66</v>
      </c>
      <c r="L161" s="1" t="s">
        <v>36</v>
      </c>
      <c r="M161" s="6">
        <v>46242.708333333336</v>
      </c>
      <c r="N161" s="6"/>
      <c r="O161" s="1">
        <v>0</v>
      </c>
      <c r="P161" s="1">
        <v>2</v>
      </c>
      <c r="Q161" s="5">
        <f t="shared" si="14"/>
        <v>0</v>
      </c>
      <c r="R161" s="5">
        <f t="shared" si="15"/>
        <v>1</v>
      </c>
      <c r="S161" s="5">
        <f t="shared" si="16"/>
        <v>1</v>
      </c>
      <c r="T161" s="5">
        <f t="shared" si="17"/>
        <v>0</v>
      </c>
      <c r="U161" s="5">
        <f t="shared" si="18"/>
        <v>1</v>
      </c>
      <c r="V161" s="5" t="str">
        <f t="shared" si="19"/>
        <v>上门超时</v>
      </c>
      <c r="W161" s="5">
        <f t="shared" si="20"/>
        <v>1</v>
      </c>
    </row>
    <row r="162" spans="1:23" ht="17.25" customHeight="1">
      <c r="A162" s="1" t="s">
        <v>228</v>
      </c>
      <c r="B162" s="1" t="s">
        <v>20</v>
      </c>
      <c r="C162" s="1" t="s">
        <v>25</v>
      </c>
      <c r="D162" s="1" t="s">
        <v>27</v>
      </c>
      <c r="E162" s="6">
        <v>46241.510416666664</v>
      </c>
      <c r="F162" s="6">
        <v>46241.60833333333</v>
      </c>
      <c r="G162" s="6">
        <v>46244.625</v>
      </c>
      <c r="H162" s="6">
        <v>46244.59375</v>
      </c>
      <c r="I162" s="6">
        <v>46244.833333333336</v>
      </c>
      <c r="J162" s="6"/>
      <c r="K162" s="1" t="s">
        <v>73</v>
      </c>
      <c r="L162" s="1" t="s">
        <v>37</v>
      </c>
      <c r="M162" s="6">
        <v>46244.833333333336</v>
      </c>
      <c r="N162" s="6"/>
      <c r="O162" s="1">
        <v>0</v>
      </c>
      <c r="P162" s="1"/>
      <c r="Q162" s="5">
        <f t="shared" si="14"/>
        <v>1</v>
      </c>
      <c r="R162" s="5">
        <f t="shared" si="15"/>
        <v>0</v>
      </c>
      <c r="S162" s="5">
        <f t="shared" si="16"/>
        <v>1</v>
      </c>
      <c r="T162" s="5">
        <f t="shared" si="17"/>
        <v>0</v>
      </c>
      <c r="U162" s="5">
        <f t="shared" si="18"/>
        <v>1</v>
      </c>
      <c r="V162" s="5" t="str">
        <f t="shared" si="19"/>
        <v>完工超时</v>
      </c>
      <c r="W162" s="5">
        <f t="shared" si="20"/>
        <v>1</v>
      </c>
    </row>
    <row r="163" spans="1:23" ht="17.25" customHeight="1">
      <c r="A163" s="1" t="s">
        <v>229</v>
      </c>
      <c r="B163" s="1" t="s">
        <v>21</v>
      </c>
      <c r="C163" s="1" t="s">
        <v>26</v>
      </c>
      <c r="D163" s="1" t="s">
        <v>29</v>
      </c>
      <c r="E163" s="6">
        <v>46241.513888888891</v>
      </c>
      <c r="F163" s="6">
        <v>46241.604861111111</v>
      </c>
      <c r="G163" s="6">
        <v>46242.5</v>
      </c>
      <c r="H163" s="6">
        <v>46242.467361111114</v>
      </c>
      <c r="I163" s="6">
        <v>46242.625</v>
      </c>
      <c r="J163" s="6">
        <v>46242.570138888892</v>
      </c>
      <c r="K163" s="1" t="s">
        <v>66</v>
      </c>
      <c r="L163" s="1" t="s">
        <v>34</v>
      </c>
      <c r="M163" s="6"/>
      <c r="N163" s="6"/>
      <c r="O163" s="1">
        <v>0</v>
      </c>
      <c r="P163" s="1">
        <v>5</v>
      </c>
      <c r="Q163" s="5">
        <f t="shared" si="14"/>
        <v>1</v>
      </c>
      <c r="R163" s="5">
        <f t="shared" si="15"/>
        <v>1</v>
      </c>
      <c r="S163" s="5">
        <f t="shared" si="16"/>
        <v>0</v>
      </c>
      <c r="T163" s="5">
        <f t="shared" si="17"/>
        <v>0</v>
      </c>
      <c r="U163" s="5">
        <f t="shared" si="18"/>
        <v>0</v>
      </c>
      <c r="V163" s="5" t="str">
        <f t="shared" si="19"/>
        <v>无</v>
      </c>
      <c r="W163" s="5">
        <f t="shared" si="20"/>
        <v>1</v>
      </c>
    </row>
    <row r="164" spans="1:23" ht="17.25" customHeight="1">
      <c r="A164" s="1" t="s">
        <v>230</v>
      </c>
      <c r="B164" s="1" t="s">
        <v>21</v>
      </c>
      <c r="C164" s="1" t="s">
        <v>24</v>
      </c>
      <c r="D164" s="1" t="s">
        <v>29</v>
      </c>
      <c r="E164" s="6">
        <v>46241.527777777781</v>
      </c>
      <c r="F164" s="6">
        <v>46241.665972222225</v>
      </c>
      <c r="G164" s="6">
        <v>46244.625</v>
      </c>
      <c r="H164" s="6">
        <v>46244.581250000003</v>
      </c>
      <c r="I164" s="6">
        <v>46244.791666666664</v>
      </c>
      <c r="J164" s="6">
        <v>46244.632638888892</v>
      </c>
      <c r="K164" s="1" t="s">
        <v>66</v>
      </c>
      <c r="L164" s="1" t="s">
        <v>34</v>
      </c>
      <c r="M164" s="6"/>
      <c r="N164" s="6"/>
      <c r="O164" s="1">
        <v>0</v>
      </c>
      <c r="P164" s="1">
        <v>4</v>
      </c>
      <c r="Q164" s="5">
        <f t="shared" si="14"/>
        <v>1</v>
      </c>
      <c r="R164" s="5">
        <f t="shared" si="15"/>
        <v>1</v>
      </c>
      <c r="S164" s="5">
        <f t="shared" si="16"/>
        <v>0</v>
      </c>
      <c r="T164" s="5">
        <f t="shared" si="17"/>
        <v>0</v>
      </c>
      <c r="U164" s="5">
        <f t="shared" si="18"/>
        <v>0</v>
      </c>
      <c r="V164" s="5" t="str">
        <f t="shared" si="19"/>
        <v>无</v>
      </c>
      <c r="W164" s="5">
        <f t="shared" si="20"/>
        <v>1</v>
      </c>
    </row>
    <row r="165" spans="1:23" ht="17.25" customHeight="1">
      <c r="A165" s="1" t="s">
        <v>231</v>
      </c>
      <c r="B165" s="1" t="s">
        <v>20</v>
      </c>
      <c r="C165" s="1" t="s">
        <v>24</v>
      </c>
      <c r="D165" s="1" t="s">
        <v>27</v>
      </c>
      <c r="E165" s="6">
        <v>46241.559027777781</v>
      </c>
      <c r="F165" s="6"/>
      <c r="G165" s="6">
        <v>46242.416666666664</v>
      </c>
      <c r="H165" s="6"/>
      <c r="I165" s="6">
        <v>46242.583333333336</v>
      </c>
      <c r="J165" s="6"/>
      <c r="K165" s="1" t="s">
        <v>73</v>
      </c>
      <c r="L165" s="1" t="s">
        <v>35</v>
      </c>
      <c r="M165" s="6">
        <v>46242.416666666664</v>
      </c>
      <c r="N165" s="6"/>
      <c r="O165" s="1">
        <v>0</v>
      </c>
      <c r="P165" s="1"/>
      <c r="Q165" s="5">
        <f t="shared" si="14"/>
        <v>0</v>
      </c>
      <c r="R165" s="5">
        <f t="shared" si="15"/>
        <v>0</v>
      </c>
      <c r="S165" s="5">
        <f t="shared" si="16"/>
        <v>1</v>
      </c>
      <c r="T165" s="5">
        <f t="shared" si="17"/>
        <v>0</v>
      </c>
      <c r="U165" s="5">
        <f t="shared" si="18"/>
        <v>1</v>
      </c>
      <c r="V165" s="5" t="str">
        <f t="shared" si="19"/>
        <v>派单超时</v>
      </c>
      <c r="W165" s="5">
        <f t="shared" si="20"/>
        <v>1</v>
      </c>
    </row>
    <row r="166" spans="1:23" ht="17.25" customHeight="1">
      <c r="A166" s="1" t="s">
        <v>232</v>
      </c>
      <c r="B166" s="1" t="s">
        <v>22</v>
      </c>
      <c r="C166" s="1" t="s">
        <v>24</v>
      </c>
      <c r="D166" s="1" t="s">
        <v>31</v>
      </c>
      <c r="E166" s="6">
        <v>46241.59375</v>
      </c>
      <c r="F166" s="6">
        <v>46243.694444444445</v>
      </c>
      <c r="G166" s="6">
        <v>46243.625</v>
      </c>
      <c r="H166" s="6">
        <v>46243.750694444447</v>
      </c>
      <c r="I166" s="6">
        <v>46243.791666666664</v>
      </c>
      <c r="J166" s="6">
        <v>46243.854861111111</v>
      </c>
      <c r="K166" s="1" t="s">
        <v>66</v>
      </c>
      <c r="L166" s="1" t="s">
        <v>35</v>
      </c>
      <c r="M166" s="6">
        <v>46243.625</v>
      </c>
      <c r="N166" s="6"/>
      <c r="O166" s="1">
        <v>0</v>
      </c>
      <c r="P166" s="1"/>
      <c r="Q166" s="5">
        <f t="shared" si="14"/>
        <v>0</v>
      </c>
      <c r="R166" s="5">
        <f t="shared" si="15"/>
        <v>0</v>
      </c>
      <c r="S166" s="5">
        <f t="shared" si="16"/>
        <v>1</v>
      </c>
      <c r="T166" s="5">
        <f t="shared" si="17"/>
        <v>0</v>
      </c>
      <c r="U166" s="5">
        <f t="shared" si="18"/>
        <v>1</v>
      </c>
      <c r="V166" s="5" t="str">
        <f t="shared" si="19"/>
        <v>派单超时</v>
      </c>
      <c r="W166" s="5">
        <f t="shared" si="20"/>
        <v>1</v>
      </c>
    </row>
    <row r="167" spans="1:23" ht="17.25" customHeight="1">
      <c r="A167" s="1" t="s">
        <v>233</v>
      </c>
      <c r="B167" s="1" t="s">
        <v>22</v>
      </c>
      <c r="C167" s="1" t="s">
        <v>25</v>
      </c>
      <c r="D167" s="1" t="s">
        <v>32</v>
      </c>
      <c r="E167" s="6">
        <v>46241.597222222219</v>
      </c>
      <c r="F167" s="6">
        <v>46241.746527777781</v>
      </c>
      <c r="G167" s="6">
        <v>46242.5</v>
      </c>
      <c r="H167" s="6">
        <v>46242.460416666669</v>
      </c>
      <c r="I167" s="6">
        <v>46242.708333333336</v>
      </c>
      <c r="J167" s="6">
        <v>46242.495833333334</v>
      </c>
      <c r="K167" s="1" t="s">
        <v>66</v>
      </c>
      <c r="L167" s="1" t="s">
        <v>34</v>
      </c>
      <c r="M167" s="6"/>
      <c r="N167" s="6"/>
      <c r="O167" s="1">
        <v>0</v>
      </c>
      <c r="P167" s="1">
        <v>4</v>
      </c>
      <c r="Q167" s="5">
        <f t="shared" si="14"/>
        <v>1</v>
      </c>
      <c r="R167" s="5">
        <f t="shared" si="15"/>
        <v>1</v>
      </c>
      <c r="S167" s="5">
        <f t="shared" si="16"/>
        <v>0</v>
      </c>
      <c r="T167" s="5">
        <f t="shared" si="17"/>
        <v>0</v>
      </c>
      <c r="U167" s="5">
        <f t="shared" si="18"/>
        <v>0</v>
      </c>
      <c r="V167" s="5" t="str">
        <f t="shared" si="19"/>
        <v>无</v>
      </c>
      <c r="W167" s="5">
        <f t="shared" si="20"/>
        <v>1</v>
      </c>
    </row>
    <row r="168" spans="1:23" ht="17.25" customHeight="1">
      <c r="A168" s="1" t="s">
        <v>234</v>
      </c>
      <c r="B168" s="1" t="s">
        <v>20</v>
      </c>
      <c r="C168" s="1" t="s">
        <v>24</v>
      </c>
      <c r="D168" s="1" t="s">
        <v>27</v>
      </c>
      <c r="E168" s="6">
        <v>46241.604166666664</v>
      </c>
      <c r="F168" s="6">
        <v>46241.690972222219</v>
      </c>
      <c r="G168" s="6">
        <v>46242.416666666664</v>
      </c>
      <c r="H168" s="6">
        <v>46242.393750000003</v>
      </c>
      <c r="I168" s="6">
        <v>46242.583333333336</v>
      </c>
      <c r="J168" s="6">
        <v>46242.436111111114</v>
      </c>
      <c r="K168" s="1" t="s">
        <v>66</v>
      </c>
      <c r="L168" s="1" t="s">
        <v>34</v>
      </c>
      <c r="M168" s="6"/>
      <c r="N168" s="6"/>
      <c r="O168" s="1">
        <v>0</v>
      </c>
      <c r="P168" s="1">
        <v>4</v>
      </c>
      <c r="Q168" s="5">
        <f t="shared" si="14"/>
        <v>1</v>
      </c>
      <c r="R168" s="5">
        <f t="shared" si="15"/>
        <v>1</v>
      </c>
      <c r="S168" s="5">
        <f t="shared" si="16"/>
        <v>0</v>
      </c>
      <c r="T168" s="5">
        <f t="shared" si="17"/>
        <v>0</v>
      </c>
      <c r="U168" s="5">
        <f t="shared" si="18"/>
        <v>0</v>
      </c>
      <c r="V168" s="5" t="str">
        <f t="shared" si="19"/>
        <v>无</v>
      </c>
      <c r="W168" s="5">
        <f t="shared" si="20"/>
        <v>1</v>
      </c>
    </row>
    <row r="169" spans="1:23" ht="17.25" customHeight="1">
      <c r="A169" s="1" t="s">
        <v>235</v>
      </c>
      <c r="B169" s="1" t="s">
        <v>20</v>
      </c>
      <c r="C169" s="1" t="s">
        <v>26</v>
      </c>
      <c r="D169" s="1" t="s">
        <v>27</v>
      </c>
      <c r="E169" s="6">
        <v>46241.611111111109</v>
      </c>
      <c r="F169" s="6">
        <v>46241.680555555555</v>
      </c>
      <c r="G169" s="6">
        <v>46242.708333333336</v>
      </c>
      <c r="H169" s="6"/>
      <c r="I169" s="6">
        <v>46242.833333333336</v>
      </c>
      <c r="J169" s="6"/>
      <c r="K169" s="1" t="s">
        <v>73</v>
      </c>
      <c r="L169" s="1" t="s">
        <v>36</v>
      </c>
      <c r="M169" s="6">
        <v>46242.708333333336</v>
      </c>
      <c r="N169" s="6"/>
      <c r="O169" s="1">
        <v>0</v>
      </c>
      <c r="P169" s="1"/>
      <c r="Q169" s="5">
        <f t="shared" si="14"/>
        <v>0</v>
      </c>
      <c r="R169" s="5">
        <f t="shared" si="15"/>
        <v>0</v>
      </c>
      <c r="S169" s="5">
        <f t="shared" si="16"/>
        <v>1</v>
      </c>
      <c r="T169" s="5">
        <f t="shared" si="17"/>
        <v>0</v>
      </c>
      <c r="U169" s="5">
        <f t="shared" si="18"/>
        <v>1</v>
      </c>
      <c r="V169" s="5" t="str">
        <f t="shared" si="19"/>
        <v>上门超时</v>
      </c>
      <c r="W169" s="5">
        <f t="shared" si="20"/>
        <v>1</v>
      </c>
    </row>
    <row r="170" spans="1:23" ht="17.25" customHeight="1">
      <c r="A170" s="1" t="s">
        <v>236</v>
      </c>
      <c r="B170" s="1" t="s">
        <v>20</v>
      </c>
      <c r="C170" s="1" t="s">
        <v>24</v>
      </c>
      <c r="D170" s="1" t="s">
        <v>27</v>
      </c>
      <c r="E170" s="6">
        <v>46241.614583333336</v>
      </c>
      <c r="F170" s="6">
        <v>46241.699305555558</v>
      </c>
      <c r="G170" s="6">
        <v>46242.625</v>
      </c>
      <c r="H170" s="6">
        <v>46242.574999999997</v>
      </c>
      <c r="I170" s="6">
        <v>46242.791666666664</v>
      </c>
      <c r="J170" s="6">
        <v>46242.618750000001</v>
      </c>
      <c r="K170" s="1" t="s">
        <v>66</v>
      </c>
      <c r="L170" s="1" t="s">
        <v>34</v>
      </c>
      <c r="M170" s="6"/>
      <c r="N170" s="6"/>
      <c r="O170" s="1">
        <v>0</v>
      </c>
      <c r="P170" s="1">
        <v>5</v>
      </c>
      <c r="Q170" s="5">
        <f t="shared" si="14"/>
        <v>1</v>
      </c>
      <c r="R170" s="5">
        <f t="shared" si="15"/>
        <v>1</v>
      </c>
      <c r="S170" s="5">
        <f t="shared" si="16"/>
        <v>0</v>
      </c>
      <c r="T170" s="5">
        <f t="shared" si="17"/>
        <v>0</v>
      </c>
      <c r="U170" s="5">
        <f t="shared" si="18"/>
        <v>0</v>
      </c>
      <c r="V170" s="5" t="str">
        <f t="shared" si="19"/>
        <v>无</v>
      </c>
      <c r="W170" s="5">
        <f t="shared" si="20"/>
        <v>1</v>
      </c>
    </row>
    <row r="171" spans="1:23" ht="17.25" customHeight="1">
      <c r="A171" s="1" t="s">
        <v>237</v>
      </c>
      <c r="B171" s="1" t="s">
        <v>20</v>
      </c>
      <c r="C171" s="1" t="s">
        <v>24</v>
      </c>
      <c r="D171" s="1" t="s">
        <v>27</v>
      </c>
      <c r="E171" s="6">
        <v>46241.614583333336</v>
      </c>
      <c r="F171" s="6">
        <v>46241.711805555555</v>
      </c>
      <c r="G171" s="6">
        <v>46242.708333333336</v>
      </c>
      <c r="H171" s="6">
        <v>46242.697916666664</v>
      </c>
      <c r="I171" s="6">
        <v>46242.875</v>
      </c>
      <c r="J171" s="6">
        <v>46242.736111111109</v>
      </c>
      <c r="K171" s="1" t="s">
        <v>66</v>
      </c>
      <c r="L171" s="1" t="s">
        <v>34</v>
      </c>
      <c r="M171" s="6"/>
      <c r="N171" s="6"/>
      <c r="O171" s="1">
        <v>0</v>
      </c>
      <c r="P171" s="1"/>
      <c r="Q171" s="5">
        <f t="shared" si="14"/>
        <v>1</v>
      </c>
      <c r="R171" s="5">
        <f t="shared" si="15"/>
        <v>1</v>
      </c>
      <c r="S171" s="5">
        <f t="shared" si="16"/>
        <v>0</v>
      </c>
      <c r="T171" s="5">
        <f t="shared" si="17"/>
        <v>0</v>
      </c>
      <c r="U171" s="5">
        <f t="shared" si="18"/>
        <v>0</v>
      </c>
      <c r="V171" s="5" t="str">
        <f t="shared" si="19"/>
        <v>无</v>
      </c>
      <c r="W171" s="5">
        <f t="shared" si="20"/>
        <v>1</v>
      </c>
    </row>
    <row r="172" spans="1:23" ht="17.25" customHeight="1">
      <c r="A172" s="1" t="s">
        <v>238</v>
      </c>
      <c r="B172" s="1" t="s">
        <v>21</v>
      </c>
      <c r="C172" s="1" t="s">
        <v>24</v>
      </c>
      <c r="D172" s="1" t="s">
        <v>30</v>
      </c>
      <c r="E172" s="6">
        <v>46241.614583333336</v>
      </c>
      <c r="F172" s="6">
        <v>46241.696527777778</v>
      </c>
      <c r="G172" s="6">
        <v>46243.416666666664</v>
      </c>
      <c r="H172" s="6">
        <v>46243.448611111111</v>
      </c>
      <c r="I172" s="6">
        <v>46243.583333333336</v>
      </c>
      <c r="J172" s="6">
        <v>46243.537499999999</v>
      </c>
      <c r="K172" s="1" t="s">
        <v>66</v>
      </c>
      <c r="L172" s="1" t="s">
        <v>36</v>
      </c>
      <c r="M172" s="6">
        <v>46243.416666666664</v>
      </c>
      <c r="N172" s="6">
        <v>46243.671527777777</v>
      </c>
      <c r="O172" s="1">
        <v>0</v>
      </c>
      <c r="P172" s="1">
        <v>3</v>
      </c>
      <c r="Q172" s="5">
        <f t="shared" si="14"/>
        <v>0</v>
      </c>
      <c r="R172" s="5">
        <f t="shared" si="15"/>
        <v>1</v>
      </c>
      <c r="S172" s="5">
        <f t="shared" si="16"/>
        <v>1</v>
      </c>
      <c r="T172" s="5">
        <f t="shared" si="17"/>
        <v>1</v>
      </c>
      <c r="U172" s="5">
        <f t="shared" si="18"/>
        <v>0</v>
      </c>
      <c r="V172" s="5" t="str">
        <f t="shared" si="19"/>
        <v>上门超时</v>
      </c>
      <c r="W172" s="5">
        <f t="shared" si="20"/>
        <v>1</v>
      </c>
    </row>
    <row r="173" spans="1:23" ht="17.25" customHeight="1">
      <c r="A173" s="1" t="s">
        <v>239</v>
      </c>
      <c r="B173" s="1" t="s">
        <v>22</v>
      </c>
      <c r="C173" s="1" t="s">
        <v>24</v>
      </c>
      <c r="D173" s="1" t="s">
        <v>31</v>
      </c>
      <c r="E173" s="6">
        <v>46241.642361111109</v>
      </c>
      <c r="F173" s="6">
        <v>46241.737500000003</v>
      </c>
      <c r="G173" s="6">
        <v>46242.5</v>
      </c>
      <c r="H173" s="6">
        <v>46242.484027777777</v>
      </c>
      <c r="I173" s="6">
        <v>46242.666666666664</v>
      </c>
      <c r="J173" s="6">
        <v>46242.5625</v>
      </c>
      <c r="K173" s="1" t="s">
        <v>66</v>
      </c>
      <c r="L173" s="1" t="s">
        <v>34</v>
      </c>
      <c r="M173" s="6"/>
      <c r="N173" s="6"/>
      <c r="O173" s="1">
        <v>0</v>
      </c>
      <c r="P173" s="1">
        <v>5</v>
      </c>
      <c r="Q173" s="5">
        <f t="shared" si="14"/>
        <v>1</v>
      </c>
      <c r="R173" s="5">
        <f t="shared" si="15"/>
        <v>1</v>
      </c>
      <c r="S173" s="5">
        <f t="shared" si="16"/>
        <v>0</v>
      </c>
      <c r="T173" s="5">
        <f t="shared" si="17"/>
        <v>0</v>
      </c>
      <c r="U173" s="5">
        <f t="shared" si="18"/>
        <v>0</v>
      </c>
      <c r="V173" s="5" t="str">
        <f t="shared" si="19"/>
        <v>无</v>
      </c>
      <c r="W173" s="5">
        <f t="shared" si="20"/>
        <v>1</v>
      </c>
    </row>
    <row r="174" spans="1:23" ht="17.25" customHeight="1">
      <c r="A174" s="1" t="s">
        <v>240</v>
      </c>
      <c r="B174" s="1" t="s">
        <v>20</v>
      </c>
      <c r="C174" s="1" t="s">
        <v>24</v>
      </c>
      <c r="D174" s="1" t="s">
        <v>27</v>
      </c>
      <c r="E174" s="6">
        <v>46241.652777777781</v>
      </c>
      <c r="F174" s="6">
        <v>46241.760416666664</v>
      </c>
      <c r="G174" s="6">
        <v>46242.5</v>
      </c>
      <c r="H174" s="6">
        <v>46242.457638888889</v>
      </c>
      <c r="I174" s="6">
        <v>46242.666666666664</v>
      </c>
      <c r="J174" s="6">
        <v>46242.543749999997</v>
      </c>
      <c r="K174" s="1" t="s">
        <v>66</v>
      </c>
      <c r="L174" s="1" t="s">
        <v>34</v>
      </c>
      <c r="M174" s="6"/>
      <c r="N174" s="6"/>
      <c r="O174" s="1">
        <v>0</v>
      </c>
      <c r="P174" s="1">
        <v>4</v>
      </c>
      <c r="Q174" s="5">
        <f t="shared" si="14"/>
        <v>1</v>
      </c>
      <c r="R174" s="5">
        <f t="shared" si="15"/>
        <v>1</v>
      </c>
      <c r="S174" s="5">
        <f t="shared" si="16"/>
        <v>0</v>
      </c>
      <c r="T174" s="5">
        <f t="shared" si="17"/>
        <v>0</v>
      </c>
      <c r="U174" s="5">
        <f t="shared" si="18"/>
        <v>0</v>
      </c>
      <c r="V174" s="5" t="str">
        <f t="shared" si="19"/>
        <v>无</v>
      </c>
      <c r="W174" s="5">
        <f t="shared" si="20"/>
        <v>1</v>
      </c>
    </row>
    <row r="175" spans="1:23" ht="17.25" customHeight="1">
      <c r="A175" s="1" t="s">
        <v>241</v>
      </c>
      <c r="B175" s="1" t="s">
        <v>20</v>
      </c>
      <c r="C175" s="1" t="s">
        <v>26</v>
      </c>
      <c r="D175" s="1" t="s">
        <v>28</v>
      </c>
      <c r="E175" s="6">
        <v>46241.659722222219</v>
      </c>
      <c r="F175" s="6">
        <v>46241.817361111112</v>
      </c>
      <c r="G175" s="6">
        <v>46242.416666666664</v>
      </c>
      <c r="H175" s="6">
        <v>46242.372916666667</v>
      </c>
      <c r="I175" s="6">
        <v>46242.541666666664</v>
      </c>
      <c r="J175" s="6">
        <v>46242.415277777778</v>
      </c>
      <c r="K175" s="1" t="s">
        <v>66</v>
      </c>
      <c r="L175" s="1" t="s">
        <v>34</v>
      </c>
      <c r="M175" s="6"/>
      <c r="N175" s="6"/>
      <c r="O175" s="1">
        <v>0</v>
      </c>
      <c r="P175" s="1">
        <v>4</v>
      </c>
      <c r="Q175" s="5">
        <f t="shared" si="14"/>
        <v>1</v>
      </c>
      <c r="R175" s="5">
        <f t="shared" si="15"/>
        <v>1</v>
      </c>
      <c r="S175" s="5">
        <f t="shared" si="16"/>
        <v>0</v>
      </c>
      <c r="T175" s="5">
        <f t="shared" si="17"/>
        <v>0</v>
      </c>
      <c r="U175" s="5">
        <f t="shared" si="18"/>
        <v>0</v>
      </c>
      <c r="V175" s="5" t="str">
        <f t="shared" si="19"/>
        <v>无</v>
      </c>
      <c r="W175" s="5">
        <f t="shared" si="20"/>
        <v>1</v>
      </c>
    </row>
    <row r="176" spans="1:23" ht="17.25" customHeight="1">
      <c r="A176" s="1" t="s">
        <v>242</v>
      </c>
      <c r="B176" s="1" t="s">
        <v>20</v>
      </c>
      <c r="C176" s="1" t="s">
        <v>25</v>
      </c>
      <c r="D176" s="1" t="s">
        <v>27</v>
      </c>
      <c r="E176" s="6">
        <v>46241.666666666664</v>
      </c>
      <c r="F176" s="6">
        <v>46241.811805555553</v>
      </c>
      <c r="G176" s="6">
        <v>46242.708333333336</v>
      </c>
      <c r="H176" s="6">
        <v>46242.6875</v>
      </c>
      <c r="I176" s="6">
        <v>46242.916666666664</v>
      </c>
      <c r="J176" s="6">
        <v>46242.736805555556</v>
      </c>
      <c r="K176" s="1" t="s">
        <v>66</v>
      </c>
      <c r="L176" s="1" t="s">
        <v>34</v>
      </c>
      <c r="M176" s="6"/>
      <c r="N176" s="6"/>
      <c r="O176" s="1">
        <v>0</v>
      </c>
      <c r="P176" s="1">
        <v>4</v>
      </c>
      <c r="Q176" s="5">
        <f t="shared" si="14"/>
        <v>1</v>
      </c>
      <c r="R176" s="5">
        <f t="shared" si="15"/>
        <v>1</v>
      </c>
      <c r="S176" s="5">
        <f t="shared" si="16"/>
        <v>0</v>
      </c>
      <c r="T176" s="5">
        <f t="shared" si="17"/>
        <v>0</v>
      </c>
      <c r="U176" s="5">
        <f t="shared" si="18"/>
        <v>0</v>
      </c>
      <c r="V176" s="5" t="str">
        <f t="shared" si="19"/>
        <v>无</v>
      </c>
      <c r="W176" s="5">
        <f t="shared" si="20"/>
        <v>1</v>
      </c>
    </row>
    <row r="177" spans="1:23" ht="17.25" customHeight="1">
      <c r="A177" s="1" t="s">
        <v>243</v>
      </c>
      <c r="B177" s="1" t="s">
        <v>22</v>
      </c>
      <c r="C177" s="1" t="s">
        <v>26</v>
      </c>
      <c r="D177" s="1" t="s">
        <v>31</v>
      </c>
      <c r="E177" s="6">
        <v>46241.6875</v>
      </c>
      <c r="F177" s="6">
        <v>46241.838888888888</v>
      </c>
      <c r="G177" s="6">
        <v>46244.625</v>
      </c>
      <c r="H177" s="6">
        <v>46244.588194444441</v>
      </c>
      <c r="I177" s="6">
        <v>46244.75</v>
      </c>
      <c r="J177" s="6">
        <v>46244.627083333333</v>
      </c>
      <c r="K177" s="1" t="s">
        <v>66</v>
      </c>
      <c r="L177" s="1" t="s">
        <v>34</v>
      </c>
      <c r="M177" s="6"/>
      <c r="N177" s="6"/>
      <c r="O177" s="1">
        <v>0</v>
      </c>
      <c r="P177" s="1">
        <v>5</v>
      </c>
      <c r="Q177" s="5">
        <f t="shared" si="14"/>
        <v>1</v>
      </c>
      <c r="R177" s="5">
        <f t="shared" si="15"/>
        <v>1</v>
      </c>
      <c r="S177" s="5">
        <f t="shared" si="16"/>
        <v>0</v>
      </c>
      <c r="T177" s="5">
        <f t="shared" si="17"/>
        <v>0</v>
      </c>
      <c r="U177" s="5">
        <f t="shared" si="18"/>
        <v>0</v>
      </c>
      <c r="V177" s="5" t="str">
        <f t="shared" si="19"/>
        <v>无</v>
      </c>
      <c r="W177" s="5">
        <f t="shared" si="20"/>
        <v>1</v>
      </c>
    </row>
    <row r="178" spans="1:23" ht="17.25" customHeight="1">
      <c r="A178" s="1" t="s">
        <v>244</v>
      </c>
      <c r="B178" s="1" t="s">
        <v>21</v>
      </c>
      <c r="C178" s="1" t="s">
        <v>24</v>
      </c>
      <c r="D178" s="1" t="s">
        <v>29</v>
      </c>
      <c r="E178" s="6">
        <v>46241.6875</v>
      </c>
      <c r="F178" s="6">
        <v>46241.825694444444</v>
      </c>
      <c r="G178" s="6">
        <v>46243.5</v>
      </c>
      <c r="H178" s="6">
        <v>46243.472222222219</v>
      </c>
      <c r="I178" s="6">
        <v>46243.666666666664</v>
      </c>
      <c r="J178" s="6"/>
      <c r="K178" s="1" t="s">
        <v>73</v>
      </c>
      <c r="L178" s="1" t="s">
        <v>37</v>
      </c>
      <c r="M178" s="6">
        <v>46243.666666666664</v>
      </c>
      <c r="N178" s="6"/>
      <c r="O178" s="1">
        <v>0</v>
      </c>
      <c r="P178" s="1"/>
      <c r="Q178" s="5">
        <f t="shared" si="14"/>
        <v>1</v>
      </c>
      <c r="R178" s="5">
        <f t="shared" si="15"/>
        <v>0</v>
      </c>
      <c r="S178" s="5">
        <f t="shared" si="16"/>
        <v>1</v>
      </c>
      <c r="T178" s="5">
        <f t="shared" si="17"/>
        <v>0</v>
      </c>
      <c r="U178" s="5">
        <f t="shared" si="18"/>
        <v>1</v>
      </c>
      <c r="V178" s="5" t="str">
        <f t="shared" si="19"/>
        <v>完工超时</v>
      </c>
      <c r="W178" s="5">
        <f t="shared" si="20"/>
        <v>1</v>
      </c>
    </row>
    <row r="179" spans="1:23" ht="17.25" customHeight="1">
      <c r="A179" s="1" t="s">
        <v>245</v>
      </c>
      <c r="B179" s="1" t="s">
        <v>20</v>
      </c>
      <c r="C179" s="1" t="s">
        <v>25</v>
      </c>
      <c r="D179" s="1" t="s">
        <v>28</v>
      </c>
      <c r="E179" s="6">
        <v>46241.725694444445</v>
      </c>
      <c r="F179" s="6">
        <v>46241.813888888886</v>
      </c>
      <c r="G179" s="6">
        <v>46242.5</v>
      </c>
      <c r="H179" s="6">
        <v>46242.574999999997</v>
      </c>
      <c r="I179" s="6">
        <v>46242.708333333336</v>
      </c>
      <c r="J179" s="6">
        <v>46242.62222222222</v>
      </c>
      <c r="K179" s="1" t="s">
        <v>66</v>
      </c>
      <c r="L179" s="1" t="s">
        <v>36</v>
      </c>
      <c r="M179" s="6">
        <v>46242.5</v>
      </c>
      <c r="N179" s="6">
        <v>46242.695833333331</v>
      </c>
      <c r="O179" s="1">
        <v>0</v>
      </c>
      <c r="P179" s="1">
        <v>4</v>
      </c>
      <c r="Q179" s="5">
        <f t="shared" si="14"/>
        <v>0</v>
      </c>
      <c r="R179" s="5">
        <f t="shared" si="15"/>
        <v>1</v>
      </c>
      <c r="S179" s="5">
        <f t="shared" si="16"/>
        <v>1</v>
      </c>
      <c r="T179" s="5">
        <f t="shared" si="17"/>
        <v>1</v>
      </c>
      <c r="U179" s="5">
        <f t="shared" si="18"/>
        <v>0</v>
      </c>
      <c r="V179" s="5" t="str">
        <f t="shared" si="19"/>
        <v>上门超时</v>
      </c>
      <c r="W179" s="5">
        <f t="shared" si="20"/>
        <v>1</v>
      </c>
    </row>
    <row r="180" spans="1:23" ht="17.25" customHeight="1">
      <c r="A180" s="1" t="s">
        <v>246</v>
      </c>
      <c r="B180" s="1" t="s">
        <v>20</v>
      </c>
      <c r="C180" s="1" t="s">
        <v>25</v>
      </c>
      <c r="D180" s="1" t="s">
        <v>27</v>
      </c>
      <c r="E180" s="6">
        <v>46241.736111111109</v>
      </c>
      <c r="F180" s="6">
        <v>46241.845833333333</v>
      </c>
      <c r="G180" s="6">
        <v>46243.708333333336</v>
      </c>
      <c r="H180" s="6">
        <v>46243.663194444445</v>
      </c>
      <c r="I180" s="6">
        <v>46243.916666666664</v>
      </c>
      <c r="J180" s="6">
        <v>46243.75</v>
      </c>
      <c r="K180" s="1" t="s">
        <v>66</v>
      </c>
      <c r="L180" s="1" t="s">
        <v>34</v>
      </c>
      <c r="M180" s="6"/>
      <c r="N180" s="6"/>
      <c r="O180" s="1">
        <v>0</v>
      </c>
      <c r="P180" s="1">
        <v>4</v>
      </c>
      <c r="Q180" s="5">
        <f t="shared" si="14"/>
        <v>1</v>
      </c>
      <c r="R180" s="5">
        <f t="shared" si="15"/>
        <v>1</v>
      </c>
      <c r="S180" s="5">
        <f t="shared" si="16"/>
        <v>0</v>
      </c>
      <c r="T180" s="5">
        <f t="shared" si="17"/>
        <v>0</v>
      </c>
      <c r="U180" s="5">
        <f t="shared" si="18"/>
        <v>0</v>
      </c>
      <c r="V180" s="5" t="str">
        <f t="shared" si="19"/>
        <v>无</v>
      </c>
      <c r="W180" s="5">
        <f t="shared" si="20"/>
        <v>1</v>
      </c>
    </row>
    <row r="181" spans="1:23" ht="17.25" customHeight="1">
      <c r="A181" s="1" t="s">
        <v>247</v>
      </c>
      <c r="B181" s="1" t="s">
        <v>20</v>
      </c>
      <c r="C181" s="1" t="s">
        <v>25</v>
      </c>
      <c r="D181" s="1" t="s">
        <v>28</v>
      </c>
      <c r="E181" s="6">
        <v>46241.746527777781</v>
      </c>
      <c r="F181" s="6">
        <v>46241.783333333333</v>
      </c>
      <c r="G181" s="6">
        <v>46244.416666666664</v>
      </c>
      <c r="H181" s="6">
        <v>46244.364583333336</v>
      </c>
      <c r="I181" s="6">
        <v>46244.625</v>
      </c>
      <c r="J181" s="6">
        <v>46244.459027777775</v>
      </c>
      <c r="K181" s="1" t="s">
        <v>66</v>
      </c>
      <c r="L181" s="1" t="s">
        <v>34</v>
      </c>
      <c r="M181" s="6"/>
      <c r="N181" s="6"/>
      <c r="O181" s="1">
        <v>0</v>
      </c>
      <c r="P181" s="1">
        <v>3</v>
      </c>
      <c r="Q181" s="5">
        <f t="shared" si="14"/>
        <v>1</v>
      </c>
      <c r="R181" s="5">
        <f t="shared" si="15"/>
        <v>1</v>
      </c>
      <c r="S181" s="5">
        <f t="shared" si="16"/>
        <v>0</v>
      </c>
      <c r="T181" s="5">
        <f t="shared" si="17"/>
        <v>0</v>
      </c>
      <c r="U181" s="5">
        <f t="shared" si="18"/>
        <v>0</v>
      </c>
      <c r="V181" s="5" t="str">
        <f t="shared" si="19"/>
        <v>无</v>
      </c>
      <c r="W181" s="5">
        <f t="shared" si="20"/>
        <v>1</v>
      </c>
    </row>
    <row r="182" spans="1:23" ht="17.25" customHeight="1">
      <c r="A182" s="1" t="s">
        <v>248</v>
      </c>
      <c r="B182" s="1" t="s">
        <v>20</v>
      </c>
      <c r="C182" s="1" t="s">
        <v>24</v>
      </c>
      <c r="D182" s="1" t="s">
        <v>27</v>
      </c>
      <c r="E182" s="6">
        <v>46241.753472222219</v>
      </c>
      <c r="F182" s="6">
        <v>46241.811805555553</v>
      </c>
      <c r="G182" s="6">
        <v>46244.416666666664</v>
      </c>
      <c r="H182" s="6">
        <v>46244.404861111114</v>
      </c>
      <c r="I182" s="6">
        <v>46244.583333333336</v>
      </c>
      <c r="J182" s="6">
        <v>46244.439583333333</v>
      </c>
      <c r="K182" s="1" t="s">
        <v>66</v>
      </c>
      <c r="L182" s="1" t="s">
        <v>34</v>
      </c>
      <c r="M182" s="6"/>
      <c r="N182" s="6"/>
      <c r="O182" s="1">
        <v>0</v>
      </c>
      <c r="P182" s="1">
        <v>4</v>
      </c>
      <c r="Q182" s="5">
        <f t="shared" si="14"/>
        <v>1</v>
      </c>
      <c r="R182" s="5">
        <f t="shared" si="15"/>
        <v>1</v>
      </c>
      <c r="S182" s="5">
        <f t="shared" si="16"/>
        <v>0</v>
      </c>
      <c r="T182" s="5">
        <f t="shared" si="17"/>
        <v>0</v>
      </c>
      <c r="U182" s="5">
        <f t="shared" si="18"/>
        <v>0</v>
      </c>
      <c r="V182" s="5" t="str">
        <f t="shared" si="19"/>
        <v>无</v>
      </c>
      <c r="W182" s="5">
        <f t="shared" si="20"/>
        <v>1</v>
      </c>
    </row>
    <row r="183" spans="1:23" ht="17.25" customHeight="1">
      <c r="A183" s="1" t="s">
        <v>249</v>
      </c>
      <c r="B183" s="1" t="s">
        <v>20</v>
      </c>
      <c r="C183" s="1" t="s">
        <v>26</v>
      </c>
      <c r="D183" s="1" t="s">
        <v>28</v>
      </c>
      <c r="E183" s="6">
        <v>46242.357638888891</v>
      </c>
      <c r="F183" s="6">
        <v>46242.402083333334</v>
      </c>
      <c r="G183" s="6">
        <v>46243.416666666664</v>
      </c>
      <c r="H183" s="6">
        <v>46243.397222222222</v>
      </c>
      <c r="I183" s="6">
        <v>46243.541666666664</v>
      </c>
      <c r="J183" s="6">
        <v>46243.461805555555</v>
      </c>
      <c r="K183" s="1" t="s">
        <v>66</v>
      </c>
      <c r="L183" s="1" t="s">
        <v>34</v>
      </c>
      <c r="M183" s="6"/>
      <c r="N183" s="6"/>
      <c r="O183" s="1">
        <v>0</v>
      </c>
      <c r="P183" s="1">
        <v>5</v>
      </c>
      <c r="Q183" s="5">
        <f t="shared" si="14"/>
        <v>1</v>
      </c>
      <c r="R183" s="5">
        <f t="shared" si="15"/>
        <v>1</v>
      </c>
      <c r="S183" s="5">
        <f t="shared" si="16"/>
        <v>0</v>
      </c>
      <c r="T183" s="5">
        <f t="shared" si="17"/>
        <v>0</v>
      </c>
      <c r="U183" s="5">
        <f t="shared" si="18"/>
        <v>0</v>
      </c>
      <c r="V183" s="5" t="str">
        <f t="shared" si="19"/>
        <v>无</v>
      </c>
      <c r="W183" s="5">
        <f t="shared" si="20"/>
        <v>1</v>
      </c>
    </row>
    <row r="184" spans="1:23" ht="17.25" customHeight="1">
      <c r="A184" s="1" t="s">
        <v>250</v>
      </c>
      <c r="B184" s="1" t="s">
        <v>20</v>
      </c>
      <c r="C184" s="1" t="s">
        <v>25</v>
      </c>
      <c r="D184" s="1" t="s">
        <v>28</v>
      </c>
      <c r="E184" s="6">
        <v>46242.368055555555</v>
      </c>
      <c r="F184" s="6">
        <v>46243.667361111111</v>
      </c>
      <c r="G184" s="6">
        <v>46243.625</v>
      </c>
      <c r="H184" s="6">
        <v>46243.684027777781</v>
      </c>
      <c r="I184" s="6">
        <v>46243.833333333336</v>
      </c>
      <c r="J184" s="6">
        <v>46243.768055555556</v>
      </c>
      <c r="K184" s="1" t="s">
        <v>66</v>
      </c>
      <c r="L184" s="1" t="s">
        <v>35</v>
      </c>
      <c r="M184" s="6">
        <v>46243.625</v>
      </c>
      <c r="N184" s="6">
        <v>46244.013194444444</v>
      </c>
      <c r="O184" s="1">
        <v>0</v>
      </c>
      <c r="P184" s="1">
        <v>4</v>
      </c>
      <c r="Q184" s="5">
        <f t="shared" si="14"/>
        <v>0</v>
      </c>
      <c r="R184" s="5">
        <f t="shared" si="15"/>
        <v>1</v>
      </c>
      <c r="S184" s="5">
        <f t="shared" si="16"/>
        <v>1</v>
      </c>
      <c r="T184" s="5">
        <f t="shared" si="17"/>
        <v>1</v>
      </c>
      <c r="U184" s="5">
        <f t="shared" si="18"/>
        <v>0</v>
      </c>
      <c r="V184" s="5" t="str">
        <f t="shared" si="19"/>
        <v>派单超时</v>
      </c>
      <c r="W184" s="5">
        <f t="shared" si="20"/>
        <v>1</v>
      </c>
    </row>
    <row r="185" spans="1:23" ht="17.25" customHeight="1">
      <c r="A185" s="1" t="s">
        <v>251</v>
      </c>
      <c r="B185" s="1" t="s">
        <v>22</v>
      </c>
      <c r="C185" s="1" t="s">
        <v>26</v>
      </c>
      <c r="D185" s="1" t="s">
        <v>32</v>
      </c>
      <c r="E185" s="6">
        <v>46242.388888888891</v>
      </c>
      <c r="F185" s="6">
        <v>46242.45416666667</v>
      </c>
      <c r="G185" s="6">
        <v>46243.5</v>
      </c>
      <c r="H185" s="6">
        <v>46243.478472222225</v>
      </c>
      <c r="I185" s="6">
        <v>46243.625</v>
      </c>
      <c r="J185" s="6">
        <v>46243.546527777777</v>
      </c>
      <c r="K185" s="1" t="s">
        <v>66</v>
      </c>
      <c r="L185" s="1" t="s">
        <v>34</v>
      </c>
      <c r="M185" s="6"/>
      <c r="N185" s="6"/>
      <c r="O185" s="1">
        <v>0</v>
      </c>
      <c r="P185" s="1">
        <v>5</v>
      </c>
      <c r="Q185" s="5">
        <f t="shared" si="14"/>
        <v>1</v>
      </c>
      <c r="R185" s="5">
        <f t="shared" si="15"/>
        <v>1</v>
      </c>
      <c r="S185" s="5">
        <f t="shared" si="16"/>
        <v>0</v>
      </c>
      <c r="T185" s="5">
        <f t="shared" si="17"/>
        <v>0</v>
      </c>
      <c r="U185" s="5">
        <f t="shared" si="18"/>
        <v>0</v>
      </c>
      <c r="V185" s="5" t="str">
        <f t="shared" si="19"/>
        <v>无</v>
      </c>
      <c r="W185" s="5">
        <f t="shared" si="20"/>
        <v>1</v>
      </c>
    </row>
    <row r="186" spans="1:23" ht="17.25" customHeight="1">
      <c r="A186" s="1" t="s">
        <v>252</v>
      </c>
      <c r="B186" s="1" t="s">
        <v>21</v>
      </c>
      <c r="C186" s="1" t="s">
        <v>25</v>
      </c>
      <c r="D186" s="1" t="s">
        <v>30</v>
      </c>
      <c r="E186" s="6">
        <v>46242.427083333336</v>
      </c>
      <c r="F186" s="6">
        <v>46242.541666666664</v>
      </c>
      <c r="G186" s="6">
        <v>46243.625</v>
      </c>
      <c r="H186" s="6">
        <v>46243.593055555553</v>
      </c>
      <c r="I186" s="6">
        <v>46243.833333333336</v>
      </c>
      <c r="J186" s="6">
        <v>46243.686805555553</v>
      </c>
      <c r="K186" s="1" t="s">
        <v>66</v>
      </c>
      <c r="L186" s="1" t="s">
        <v>34</v>
      </c>
      <c r="M186" s="6"/>
      <c r="N186" s="6"/>
      <c r="O186" s="1">
        <v>0</v>
      </c>
      <c r="P186" s="1">
        <v>5</v>
      </c>
      <c r="Q186" s="5">
        <f t="shared" si="14"/>
        <v>1</v>
      </c>
      <c r="R186" s="5">
        <f t="shared" si="15"/>
        <v>1</v>
      </c>
      <c r="S186" s="5">
        <f t="shared" si="16"/>
        <v>0</v>
      </c>
      <c r="T186" s="5">
        <f t="shared" si="17"/>
        <v>0</v>
      </c>
      <c r="U186" s="5">
        <f t="shared" si="18"/>
        <v>0</v>
      </c>
      <c r="V186" s="5" t="str">
        <f t="shared" si="19"/>
        <v>无</v>
      </c>
      <c r="W186" s="5">
        <f t="shared" si="20"/>
        <v>1</v>
      </c>
    </row>
    <row r="187" spans="1:23" ht="17.25" customHeight="1">
      <c r="A187" s="1" t="s">
        <v>253</v>
      </c>
      <c r="B187" s="1" t="s">
        <v>22</v>
      </c>
      <c r="C187" s="1" t="s">
        <v>25</v>
      </c>
      <c r="D187" s="1" t="s">
        <v>32</v>
      </c>
      <c r="E187" s="6">
        <v>46242.454861111109</v>
      </c>
      <c r="F187" s="6">
        <v>46242.515277777777</v>
      </c>
      <c r="G187" s="6">
        <v>46243.625</v>
      </c>
      <c r="H187" s="6">
        <v>46243.69027777778</v>
      </c>
      <c r="I187" s="6">
        <v>46243.833333333336</v>
      </c>
      <c r="J187" s="6">
        <v>46243.751388888886</v>
      </c>
      <c r="K187" s="1" t="s">
        <v>66</v>
      </c>
      <c r="L187" s="1" t="s">
        <v>36</v>
      </c>
      <c r="M187" s="6">
        <v>46243.625</v>
      </c>
      <c r="N187" s="6"/>
      <c r="O187" s="1">
        <v>0</v>
      </c>
      <c r="P187" s="1">
        <v>3</v>
      </c>
      <c r="Q187" s="5">
        <f t="shared" si="14"/>
        <v>0</v>
      </c>
      <c r="R187" s="5">
        <f t="shared" si="15"/>
        <v>1</v>
      </c>
      <c r="S187" s="5">
        <f t="shared" si="16"/>
        <v>1</v>
      </c>
      <c r="T187" s="5">
        <f t="shared" si="17"/>
        <v>0</v>
      </c>
      <c r="U187" s="5">
        <f t="shared" si="18"/>
        <v>1</v>
      </c>
      <c r="V187" s="5" t="str">
        <f t="shared" si="19"/>
        <v>上门超时</v>
      </c>
      <c r="W187" s="5">
        <f t="shared" si="20"/>
        <v>1</v>
      </c>
    </row>
    <row r="188" spans="1:23" ht="17.25" customHeight="1">
      <c r="A188" s="1" t="s">
        <v>254</v>
      </c>
      <c r="B188" s="1" t="s">
        <v>22</v>
      </c>
      <c r="C188" s="1" t="s">
        <v>24</v>
      </c>
      <c r="D188" s="1" t="s">
        <v>32</v>
      </c>
      <c r="E188" s="6">
        <v>46242.513888888891</v>
      </c>
      <c r="F188" s="6">
        <v>46242.574999999997</v>
      </c>
      <c r="G188" s="6">
        <v>46244.5</v>
      </c>
      <c r="H188" s="6">
        <v>46244.449305555558</v>
      </c>
      <c r="I188" s="6">
        <v>46244.666666666664</v>
      </c>
      <c r="J188" s="6">
        <v>46244.497916666667</v>
      </c>
      <c r="K188" s="1" t="s">
        <v>66</v>
      </c>
      <c r="L188" s="1" t="s">
        <v>34</v>
      </c>
      <c r="M188" s="6"/>
      <c r="N188" s="6"/>
      <c r="O188" s="1">
        <v>0</v>
      </c>
      <c r="P188" s="1">
        <v>4</v>
      </c>
      <c r="Q188" s="5">
        <f t="shared" si="14"/>
        <v>1</v>
      </c>
      <c r="R188" s="5">
        <f t="shared" si="15"/>
        <v>1</v>
      </c>
      <c r="S188" s="5">
        <f t="shared" si="16"/>
        <v>0</v>
      </c>
      <c r="T188" s="5">
        <f t="shared" si="17"/>
        <v>0</v>
      </c>
      <c r="U188" s="5">
        <f t="shared" si="18"/>
        <v>0</v>
      </c>
      <c r="V188" s="5" t="str">
        <f t="shared" si="19"/>
        <v>无</v>
      </c>
      <c r="W188" s="5">
        <f t="shared" si="20"/>
        <v>1</v>
      </c>
    </row>
    <row r="189" spans="1:23" ht="17.25" customHeight="1">
      <c r="A189" s="1" t="s">
        <v>255</v>
      </c>
      <c r="B189" s="1" t="s">
        <v>20</v>
      </c>
      <c r="C189" s="1" t="s">
        <v>24</v>
      </c>
      <c r="D189" s="1" t="s">
        <v>27</v>
      </c>
      <c r="E189" s="6">
        <v>46242.527777777781</v>
      </c>
      <c r="F189" s="6">
        <v>46242.627083333333</v>
      </c>
      <c r="G189" s="6">
        <v>46243.625</v>
      </c>
      <c r="H189" s="6">
        <v>46243.580555555556</v>
      </c>
      <c r="I189" s="6">
        <v>46243.791666666664</v>
      </c>
      <c r="J189" s="6">
        <v>46243.619444444441</v>
      </c>
      <c r="K189" s="1" t="s">
        <v>66</v>
      </c>
      <c r="L189" s="1" t="s">
        <v>34</v>
      </c>
      <c r="M189" s="6"/>
      <c r="N189" s="6"/>
      <c r="O189" s="1">
        <v>0</v>
      </c>
      <c r="P189" s="1"/>
      <c r="Q189" s="5">
        <f t="shared" si="14"/>
        <v>1</v>
      </c>
      <c r="R189" s="5">
        <f t="shared" si="15"/>
        <v>1</v>
      </c>
      <c r="S189" s="5">
        <f t="shared" si="16"/>
        <v>0</v>
      </c>
      <c r="T189" s="5">
        <f t="shared" si="17"/>
        <v>0</v>
      </c>
      <c r="U189" s="5">
        <f t="shared" si="18"/>
        <v>0</v>
      </c>
      <c r="V189" s="5" t="str">
        <f t="shared" si="19"/>
        <v>无</v>
      </c>
      <c r="W189" s="5">
        <f t="shared" si="20"/>
        <v>1</v>
      </c>
    </row>
    <row r="190" spans="1:23" ht="17.25" customHeight="1">
      <c r="A190" s="1" t="s">
        <v>256</v>
      </c>
      <c r="B190" s="1" t="s">
        <v>21</v>
      </c>
      <c r="C190" s="1" t="s">
        <v>25</v>
      </c>
      <c r="D190" s="1" t="s">
        <v>30</v>
      </c>
      <c r="E190" s="6">
        <v>46242.53125</v>
      </c>
      <c r="F190" s="6">
        <v>46243.660416666666</v>
      </c>
      <c r="G190" s="6">
        <v>46243.625</v>
      </c>
      <c r="H190" s="6">
        <v>46243.706944444442</v>
      </c>
      <c r="I190" s="6">
        <v>46243.833333333336</v>
      </c>
      <c r="J190" s="6">
        <v>46243.790972222225</v>
      </c>
      <c r="K190" s="1" t="s">
        <v>66</v>
      </c>
      <c r="L190" s="1" t="s">
        <v>35</v>
      </c>
      <c r="M190" s="6">
        <v>46243.625</v>
      </c>
      <c r="N190" s="6"/>
      <c r="O190" s="1">
        <v>0</v>
      </c>
      <c r="P190" s="1">
        <v>4</v>
      </c>
      <c r="Q190" s="5">
        <f t="shared" si="14"/>
        <v>0</v>
      </c>
      <c r="R190" s="5">
        <f t="shared" si="15"/>
        <v>1</v>
      </c>
      <c r="S190" s="5">
        <f t="shared" si="16"/>
        <v>1</v>
      </c>
      <c r="T190" s="5">
        <f t="shared" si="17"/>
        <v>0</v>
      </c>
      <c r="U190" s="5">
        <f t="shared" si="18"/>
        <v>1</v>
      </c>
      <c r="V190" s="5" t="str">
        <f t="shared" si="19"/>
        <v>派单超时</v>
      </c>
      <c r="W190" s="5">
        <f t="shared" si="20"/>
        <v>1</v>
      </c>
    </row>
    <row r="191" spans="1:23" ht="17.25" customHeight="1">
      <c r="A191" s="1" t="s">
        <v>257</v>
      </c>
      <c r="B191" s="1" t="s">
        <v>21</v>
      </c>
      <c r="C191" s="1" t="s">
        <v>25</v>
      </c>
      <c r="D191" s="1" t="s">
        <v>29</v>
      </c>
      <c r="E191" s="6">
        <v>46242.583333333336</v>
      </c>
      <c r="F191" s="6">
        <v>46242.6875</v>
      </c>
      <c r="G191" s="6">
        <v>46243.5</v>
      </c>
      <c r="H191" s="6">
        <v>46243.486111111109</v>
      </c>
      <c r="I191" s="6">
        <v>46243.708333333336</v>
      </c>
      <c r="J191" s="6">
        <v>46243.806944444441</v>
      </c>
      <c r="K191" s="1" t="s">
        <v>66</v>
      </c>
      <c r="L191" s="1" t="s">
        <v>37</v>
      </c>
      <c r="M191" s="6">
        <v>46243.708333333336</v>
      </c>
      <c r="N191" s="6"/>
      <c r="O191" s="1">
        <v>1</v>
      </c>
      <c r="P191" s="1">
        <v>3</v>
      </c>
      <c r="Q191" s="5">
        <f t="shared" si="14"/>
        <v>1</v>
      </c>
      <c r="R191" s="5">
        <f t="shared" si="15"/>
        <v>0</v>
      </c>
      <c r="S191" s="5">
        <f t="shared" si="16"/>
        <v>1</v>
      </c>
      <c r="T191" s="5">
        <f t="shared" si="17"/>
        <v>0</v>
      </c>
      <c r="U191" s="5">
        <f t="shared" si="18"/>
        <v>1</v>
      </c>
      <c r="V191" s="5" t="str">
        <f t="shared" si="19"/>
        <v>完工超时</v>
      </c>
      <c r="W191" s="5">
        <f t="shared" si="20"/>
        <v>1</v>
      </c>
    </row>
    <row r="192" spans="1:23" ht="17.25" customHeight="1">
      <c r="A192" s="1" t="s">
        <v>258</v>
      </c>
      <c r="B192" s="1" t="s">
        <v>20</v>
      </c>
      <c r="C192" s="1" t="s">
        <v>25</v>
      </c>
      <c r="D192" s="1" t="s">
        <v>27</v>
      </c>
      <c r="E192" s="6">
        <v>46242.604166666664</v>
      </c>
      <c r="F192" s="6">
        <v>46242.742361111108</v>
      </c>
      <c r="G192" s="6">
        <v>46244.708333333336</v>
      </c>
      <c r="H192" s="6">
        <v>46244.665277777778</v>
      </c>
      <c r="I192" s="6">
        <v>46244.916666666664</v>
      </c>
      <c r="J192" s="6">
        <v>46244.718055555553</v>
      </c>
      <c r="K192" s="1" t="s">
        <v>66</v>
      </c>
      <c r="L192" s="1" t="s">
        <v>34</v>
      </c>
      <c r="M192" s="6"/>
      <c r="N192" s="6"/>
      <c r="O192" s="1">
        <v>0</v>
      </c>
      <c r="P192" s="1">
        <v>4</v>
      </c>
      <c r="Q192" s="5">
        <f t="shared" si="14"/>
        <v>1</v>
      </c>
      <c r="R192" s="5">
        <f t="shared" si="15"/>
        <v>1</v>
      </c>
      <c r="S192" s="5">
        <f t="shared" si="16"/>
        <v>0</v>
      </c>
      <c r="T192" s="5">
        <f t="shared" si="17"/>
        <v>0</v>
      </c>
      <c r="U192" s="5">
        <f t="shared" si="18"/>
        <v>0</v>
      </c>
      <c r="V192" s="5" t="str">
        <f t="shared" si="19"/>
        <v>无</v>
      </c>
      <c r="W192" s="5">
        <f t="shared" si="20"/>
        <v>1</v>
      </c>
    </row>
    <row r="193" spans="1:23" ht="17.25" customHeight="1">
      <c r="A193" s="1" t="s">
        <v>259</v>
      </c>
      <c r="B193" s="1" t="s">
        <v>20</v>
      </c>
      <c r="C193" s="1" t="s">
        <v>25</v>
      </c>
      <c r="D193" s="1" t="s">
        <v>28</v>
      </c>
      <c r="E193" s="6">
        <v>46242.625</v>
      </c>
      <c r="F193" s="6">
        <v>46242.781944444447</v>
      </c>
      <c r="G193" s="6">
        <v>46243.416666666664</v>
      </c>
      <c r="H193" s="6">
        <v>46243.443749999999</v>
      </c>
      <c r="I193" s="6">
        <v>46243.625</v>
      </c>
      <c r="J193" s="6">
        <v>46243.494444444441</v>
      </c>
      <c r="K193" s="1" t="s">
        <v>66</v>
      </c>
      <c r="L193" s="1" t="s">
        <v>36</v>
      </c>
      <c r="M193" s="6">
        <v>46243.416666666664</v>
      </c>
      <c r="N193" s="6">
        <v>46243.607638888891</v>
      </c>
      <c r="O193" s="1">
        <v>0</v>
      </c>
      <c r="P193" s="1">
        <v>4</v>
      </c>
      <c r="Q193" s="5">
        <f t="shared" si="14"/>
        <v>0</v>
      </c>
      <c r="R193" s="5">
        <f t="shared" si="15"/>
        <v>1</v>
      </c>
      <c r="S193" s="5">
        <f t="shared" si="16"/>
        <v>1</v>
      </c>
      <c r="T193" s="5">
        <f t="shared" si="17"/>
        <v>1</v>
      </c>
      <c r="U193" s="5">
        <f t="shared" si="18"/>
        <v>0</v>
      </c>
      <c r="V193" s="5" t="str">
        <f t="shared" si="19"/>
        <v>上门超时</v>
      </c>
      <c r="W193" s="5">
        <f t="shared" si="20"/>
        <v>1</v>
      </c>
    </row>
    <row r="194" spans="1:23" ht="17.25" customHeight="1">
      <c r="A194" s="1" t="s">
        <v>260</v>
      </c>
      <c r="B194" s="1" t="s">
        <v>21</v>
      </c>
      <c r="C194" s="1" t="s">
        <v>24</v>
      </c>
      <c r="D194" s="1" t="s">
        <v>30</v>
      </c>
      <c r="E194" s="6">
        <v>46242.652777777781</v>
      </c>
      <c r="F194" s="6">
        <v>46242.765972222223</v>
      </c>
      <c r="G194" s="6">
        <v>46243.416666666664</v>
      </c>
      <c r="H194" s="6">
        <v>46243.381944444445</v>
      </c>
      <c r="I194" s="6">
        <v>46243.583333333336</v>
      </c>
      <c r="J194" s="6">
        <v>46243.454861111109</v>
      </c>
      <c r="K194" s="1" t="s">
        <v>66</v>
      </c>
      <c r="L194" s="1" t="s">
        <v>34</v>
      </c>
      <c r="M194" s="6"/>
      <c r="N194" s="6"/>
      <c r="O194" s="1">
        <v>0</v>
      </c>
      <c r="P194" s="1">
        <v>4</v>
      </c>
      <c r="Q194" s="5">
        <f t="shared" ref="Q194:Q257" si="21">IF(AND(ISNUMBER(H194),H194&lt;=G194),1,0)</f>
        <v>1</v>
      </c>
      <c r="R194" s="5">
        <f t="shared" ref="R194:R257" si="22">IF(AND(ISNUMBER(J194),J194&lt;=I194),1,0)</f>
        <v>1</v>
      </c>
      <c r="S194" s="5">
        <f t="shared" ref="S194:S257" si="23">IF(V194="无",0,1)</f>
        <v>0</v>
      </c>
      <c r="T194" s="5">
        <f t="shared" ref="T194:T257" si="24">IF(AND(S194=1,ISNUMBER(N194)),1,0)</f>
        <v>0</v>
      </c>
      <c r="U194" s="5">
        <f t="shared" ref="U194:U257" si="25">IF(AND(S194=1,T194=0),1,0)</f>
        <v>0</v>
      </c>
      <c r="V194" s="5" t="str">
        <f t="shared" ref="V194:V257" si="26">IF(AND(ISNUMBER(F194),F194&lt;=G194),IF(AND(ISNUMBER(H194),H194&lt;=G194),IF(AND(ISNUMBER(J194),J194&lt;=I194),"无","完工超时"),"上门超时"),"派单超时")</f>
        <v>无</v>
      </c>
      <c r="W194" s="5">
        <f t="shared" ref="W194:W257" si="27">IF(L194=V194,1,0)</f>
        <v>1</v>
      </c>
    </row>
    <row r="195" spans="1:23" ht="17.25" customHeight="1">
      <c r="A195" s="1" t="s">
        <v>261</v>
      </c>
      <c r="B195" s="1" t="s">
        <v>20</v>
      </c>
      <c r="C195" s="1" t="s">
        <v>24</v>
      </c>
      <c r="D195" s="1" t="s">
        <v>27</v>
      </c>
      <c r="E195" s="6">
        <v>46242.659722222219</v>
      </c>
      <c r="F195" s="6">
        <v>46242.694444444445</v>
      </c>
      <c r="G195" s="6">
        <v>46244.5</v>
      </c>
      <c r="H195" s="6">
        <v>46244.490277777775</v>
      </c>
      <c r="I195" s="6">
        <v>46244.666666666664</v>
      </c>
      <c r="J195" s="6">
        <v>46244.577777777777</v>
      </c>
      <c r="K195" s="1" t="s">
        <v>66</v>
      </c>
      <c r="L195" s="1" t="s">
        <v>34</v>
      </c>
      <c r="M195" s="6"/>
      <c r="N195" s="6"/>
      <c r="O195" s="1">
        <v>0</v>
      </c>
      <c r="P195" s="1"/>
      <c r="Q195" s="5">
        <f t="shared" si="21"/>
        <v>1</v>
      </c>
      <c r="R195" s="5">
        <f t="shared" si="22"/>
        <v>1</v>
      </c>
      <c r="S195" s="5">
        <f t="shared" si="23"/>
        <v>0</v>
      </c>
      <c r="T195" s="5">
        <f t="shared" si="24"/>
        <v>0</v>
      </c>
      <c r="U195" s="5">
        <f t="shared" si="25"/>
        <v>0</v>
      </c>
      <c r="V195" s="5" t="str">
        <f t="shared" si="26"/>
        <v>无</v>
      </c>
      <c r="W195" s="5">
        <f t="shared" si="27"/>
        <v>1</v>
      </c>
    </row>
    <row r="196" spans="1:23" ht="17.25" customHeight="1">
      <c r="A196" s="1" t="s">
        <v>262</v>
      </c>
      <c r="B196" s="1" t="s">
        <v>21</v>
      </c>
      <c r="C196" s="1" t="s">
        <v>25</v>
      </c>
      <c r="D196" s="1" t="s">
        <v>30</v>
      </c>
      <c r="E196" s="6">
        <v>46242.666666666664</v>
      </c>
      <c r="F196" s="6">
        <v>46244.568055555559</v>
      </c>
      <c r="G196" s="6">
        <v>46244.5</v>
      </c>
      <c r="H196" s="6">
        <v>46244.59375</v>
      </c>
      <c r="I196" s="6">
        <v>46244.708333333336</v>
      </c>
      <c r="J196" s="6">
        <v>46244.684027777781</v>
      </c>
      <c r="K196" s="1" t="s">
        <v>66</v>
      </c>
      <c r="L196" s="1" t="s">
        <v>35</v>
      </c>
      <c r="M196" s="6">
        <v>46244.5</v>
      </c>
      <c r="N196" s="6">
        <v>46244.805555555555</v>
      </c>
      <c r="O196" s="1">
        <v>0</v>
      </c>
      <c r="P196" s="1">
        <v>4</v>
      </c>
      <c r="Q196" s="5">
        <f t="shared" si="21"/>
        <v>0</v>
      </c>
      <c r="R196" s="5">
        <f t="shared" si="22"/>
        <v>1</v>
      </c>
      <c r="S196" s="5">
        <f t="shared" si="23"/>
        <v>1</v>
      </c>
      <c r="T196" s="5">
        <f t="shared" si="24"/>
        <v>1</v>
      </c>
      <c r="U196" s="5">
        <f t="shared" si="25"/>
        <v>0</v>
      </c>
      <c r="V196" s="5" t="str">
        <f t="shared" si="26"/>
        <v>派单超时</v>
      </c>
      <c r="W196" s="5">
        <f t="shared" si="27"/>
        <v>1</v>
      </c>
    </row>
    <row r="197" spans="1:23" ht="17.25" customHeight="1">
      <c r="A197" s="1" t="s">
        <v>263</v>
      </c>
      <c r="B197" s="1" t="s">
        <v>20</v>
      </c>
      <c r="C197" s="1" t="s">
        <v>26</v>
      </c>
      <c r="D197" s="1" t="s">
        <v>28</v>
      </c>
      <c r="E197" s="6">
        <v>46242.670138888891</v>
      </c>
      <c r="F197" s="6">
        <v>46242.749305555553</v>
      </c>
      <c r="G197" s="6">
        <v>46243.708333333336</v>
      </c>
      <c r="H197" s="6">
        <v>46243.7</v>
      </c>
      <c r="I197" s="6">
        <v>46243.833333333336</v>
      </c>
      <c r="J197" s="6">
        <v>46243.761805555558</v>
      </c>
      <c r="K197" s="1" t="s">
        <v>66</v>
      </c>
      <c r="L197" s="1" t="s">
        <v>34</v>
      </c>
      <c r="M197" s="6"/>
      <c r="N197" s="6"/>
      <c r="O197" s="1">
        <v>0</v>
      </c>
      <c r="P197" s="1"/>
      <c r="Q197" s="5">
        <f t="shared" si="21"/>
        <v>1</v>
      </c>
      <c r="R197" s="5">
        <f t="shared" si="22"/>
        <v>1</v>
      </c>
      <c r="S197" s="5">
        <f t="shared" si="23"/>
        <v>0</v>
      </c>
      <c r="T197" s="5">
        <f t="shared" si="24"/>
        <v>0</v>
      </c>
      <c r="U197" s="5">
        <f t="shared" si="25"/>
        <v>0</v>
      </c>
      <c r="V197" s="5" t="str">
        <f t="shared" si="26"/>
        <v>无</v>
      </c>
      <c r="W197" s="5">
        <f t="shared" si="27"/>
        <v>1</v>
      </c>
    </row>
    <row r="198" spans="1:23" ht="17.25" customHeight="1">
      <c r="A198" s="1" t="s">
        <v>264</v>
      </c>
      <c r="B198" s="1" t="s">
        <v>22</v>
      </c>
      <c r="C198" s="1" t="s">
        <v>25</v>
      </c>
      <c r="D198" s="1" t="s">
        <v>31</v>
      </c>
      <c r="E198" s="6">
        <v>46242.673611111109</v>
      </c>
      <c r="F198" s="6">
        <v>46242.695138888892</v>
      </c>
      <c r="G198" s="6">
        <v>46244.416666666664</v>
      </c>
      <c r="H198" s="6">
        <v>46244.397222222222</v>
      </c>
      <c r="I198" s="6">
        <v>46244.625</v>
      </c>
      <c r="J198" s="6">
        <v>46244.438888888886</v>
      </c>
      <c r="K198" s="1" t="s">
        <v>66</v>
      </c>
      <c r="L198" s="1" t="s">
        <v>34</v>
      </c>
      <c r="M198" s="6"/>
      <c r="N198" s="6"/>
      <c r="O198" s="1">
        <v>1</v>
      </c>
      <c r="P198" s="1"/>
      <c r="Q198" s="5">
        <f t="shared" si="21"/>
        <v>1</v>
      </c>
      <c r="R198" s="5">
        <f t="shared" si="22"/>
        <v>1</v>
      </c>
      <c r="S198" s="5">
        <f t="shared" si="23"/>
        <v>0</v>
      </c>
      <c r="T198" s="5">
        <f t="shared" si="24"/>
        <v>0</v>
      </c>
      <c r="U198" s="5">
        <f t="shared" si="25"/>
        <v>0</v>
      </c>
      <c r="V198" s="5" t="str">
        <f t="shared" si="26"/>
        <v>无</v>
      </c>
      <c r="W198" s="5">
        <f t="shared" si="27"/>
        <v>1</v>
      </c>
    </row>
    <row r="199" spans="1:23" ht="17.25" customHeight="1">
      <c r="A199" s="1" t="s">
        <v>265</v>
      </c>
      <c r="B199" s="1" t="s">
        <v>20</v>
      </c>
      <c r="C199" s="1" t="s">
        <v>25</v>
      </c>
      <c r="D199" s="1" t="s">
        <v>28</v>
      </c>
      <c r="E199" s="6">
        <v>46242.690972222219</v>
      </c>
      <c r="F199" s="6">
        <v>46242.722916666666</v>
      </c>
      <c r="G199" s="6">
        <v>46244.708333333336</v>
      </c>
      <c r="H199" s="6">
        <v>46244.680555555555</v>
      </c>
      <c r="I199" s="6">
        <v>46244.916666666664</v>
      </c>
      <c r="J199" s="6">
        <v>46244.729166666664</v>
      </c>
      <c r="K199" s="1" t="s">
        <v>66</v>
      </c>
      <c r="L199" s="1" t="s">
        <v>34</v>
      </c>
      <c r="M199" s="6"/>
      <c r="N199" s="6"/>
      <c r="O199" s="1">
        <v>0</v>
      </c>
      <c r="P199" s="1">
        <v>4</v>
      </c>
      <c r="Q199" s="5">
        <f t="shared" si="21"/>
        <v>1</v>
      </c>
      <c r="R199" s="5">
        <f t="shared" si="22"/>
        <v>1</v>
      </c>
      <c r="S199" s="5">
        <f t="shared" si="23"/>
        <v>0</v>
      </c>
      <c r="T199" s="5">
        <f t="shared" si="24"/>
        <v>0</v>
      </c>
      <c r="U199" s="5">
        <f t="shared" si="25"/>
        <v>0</v>
      </c>
      <c r="V199" s="5" t="str">
        <f t="shared" si="26"/>
        <v>无</v>
      </c>
      <c r="W199" s="5">
        <f t="shared" si="27"/>
        <v>1</v>
      </c>
    </row>
    <row r="200" spans="1:23" ht="17.25" customHeight="1">
      <c r="A200" s="1" t="s">
        <v>266</v>
      </c>
      <c r="B200" s="1" t="s">
        <v>22</v>
      </c>
      <c r="C200" s="1" t="s">
        <v>25</v>
      </c>
      <c r="D200" s="1" t="s">
        <v>31</v>
      </c>
      <c r="E200" s="6">
        <v>46242.690972222219</v>
      </c>
      <c r="F200" s="6">
        <v>46242.761805555558</v>
      </c>
      <c r="G200" s="6">
        <v>46243.625</v>
      </c>
      <c r="H200" s="6">
        <v>46243.591666666667</v>
      </c>
      <c r="I200" s="6">
        <v>46243.833333333336</v>
      </c>
      <c r="J200" s="6">
        <v>46243.92083333333</v>
      </c>
      <c r="K200" s="1" t="s">
        <v>66</v>
      </c>
      <c r="L200" s="1" t="s">
        <v>37</v>
      </c>
      <c r="M200" s="6">
        <v>46243.833333333336</v>
      </c>
      <c r="N200" s="6">
        <v>46244.030555555553</v>
      </c>
      <c r="O200" s="1">
        <v>0</v>
      </c>
      <c r="P200" s="1"/>
      <c r="Q200" s="5">
        <f t="shared" si="21"/>
        <v>1</v>
      </c>
      <c r="R200" s="5">
        <f t="shared" si="22"/>
        <v>0</v>
      </c>
      <c r="S200" s="5">
        <f t="shared" si="23"/>
        <v>1</v>
      </c>
      <c r="T200" s="5">
        <f t="shared" si="24"/>
        <v>1</v>
      </c>
      <c r="U200" s="5">
        <f t="shared" si="25"/>
        <v>0</v>
      </c>
      <c r="V200" s="5" t="str">
        <f t="shared" si="26"/>
        <v>完工超时</v>
      </c>
      <c r="W200" s="5">
        <f t="shared" si="27"/>
        <v>1</v>
      </c>
    </row>
    <row r="201" spans="1:23" ht="17.25" customHeight="1">
      <c r="A201" s="1" t="s">
        <v>267</v>
      </c>
      <c r="B201" s="1" t="s">
        <v>20</v>
      </c>
      <c r="C201" s="1" t="s">
        <v>24</v>
      </c>
      <c r="D201" s="1" t="s">
        <v>27</v>
      </c>
      <c r="E201" s="6">
        <v>46242.753472222219</v>
      </c>
      <c r="F201" s="6">
        <v>46242.849305555559</v>
      </c>
      <c r="G201" s="6">
        <v>46243.625</v>
      </c>
      <c r="H201" s="6">
        <v>46243.588194444441</v>
      </c>
      <c r="I201" s="6">
        <v>46243.791666666664</v>
      </c>
      <c r="J201" s="6">
        <v>46243.625</v>
      </c>
      <c r="K201" s="1" t="s">
        <v>66</v>
      </c>
      <c r="L201" s="1" t="s">
        <v>34</v>
      </c>
      <c r="M201" s="6"/>
      <c r="N201" s="6"/>
      <c r="O201" s="1">
        <v>0</v>
      </c>
      <c r="P201" s="1">
        <v>3</v>
      </c>
      <c r="Q201" s="5">
        <f t="shared" si="21"/>
        <v>1</v>
      </c>
      <c r="R201" s="5">
        <f t="shared" si="22"/>
        <v>1</v>
      </c>
      <c r="S201" s="5">
        <f t="shared" si="23"/>
        <v>0</v>
      </c>
      <c r="T201" s="5">
        <f t="shared" si="24"/>
        <v>0</v>
      </c>
      <c r="U201" s="5">
        <f t="shared" si="25"/>
        <v>0</v>
      </c>
      <c r="V201" s="5" t="str">
        <f t="shared" si="26"/>
        <v>无</v>
      </c>
      <c r="W201" s="5">
        <f t="shared" si="27"/>
        <v>1</v>
      </c>
    </row>
    <row r="202" spans="1:23" ht="17.25" customHeight="1">
      <c r="A202" s="1" t="s">
        <v>268</v>
      </c>
      <c r="B202" s="1" t="s">
        <v>21</v>
      </c>
      <c r="C202" s="1" t="s">
        <v>26</v>
      </c>
      <c r="D202" s="1" t="s">
        <v>29</v>
      </c>
      <c r="E202" s="6">
        <v>46242.756944444445</v>
      </c>
      <c r="F202" s="6">
        <v>46242.825694444444</v>
      </c>
      <c r="G202" s="6">
        <v>46243.625</v>
      </c>
      <c r="H202" s="6">
        <v>46243.604166666664</v>
      </c>
      <c r="I202" s="6">
        <v>46243.75</v>
      </c>
      <c r="J202" s="6">
        <v>46243.67291666667</v>
      </c>
      <c r="K202" s="1" t="s">
        <v>66</v>
      </c>
      <c r="L202" s="1" t="s">
        <v>34</v>
      </c>
      <c r="M202" s="6"/>
      <c r="N202" s="6"/>
      <c r="O202" s="1">
        <v>0</v>
      </c>
      <c r="P202" s="1">
        <v>3</v>
      </c>
      <c r="Q202" s="5">
        <f t="shared" si="21"/>
        <v>1</v>
      </c>
      <c r="R202" s="5">
        <f t="shared" si="22"/>
        <v>1</v>
      </c>
      <c r="S202" s="5">
        <f t="shared" si="23"/>
        <v>0</v>
      </c>
      <c r="T202" s="5">
        <f t="shared" si="24"/>
        <v>0</v>
      </c>
      <c r="U202" s="5">
        <f t="shared" si="25"/>
        <v>0</v>
      </c>
      <c r="V202" s="5" t="str">
        <f t="shared" si="26"/>
        <v>无</v>
      </c>
      <c r="W202" s="5">
        <f t="shared" si="27"/>
        <v>1</v>
      </c>
    </row>
    <row r="203" spans="1:23" ht="17.25" customHeight="1">
      <c r="A203" s="1" t="s">
        <v>269</v>
      </c>
      <c r="B203" s="1" t="s">
        <v>22</v>
      </c>
      <c r="C203" s="1" t="s">
        <v>25</v>
      </c>
      <c r="D203" s="1" t="s">
        <v>32</v>
      </c>
      <c r="E203" s="6">
        <v>46242.763888888891</v>
      </c>
      <c r="F203" s="6">
        <v>46242.908333333333</v>
      </c>
      <c r="G203" s="6">
        <v>46243.5</v>
      </c>
      <c r="H203" s="6">
        <v>46243.466666666667</v>
      </c>
      <c r="I203" s="6">
        <v>46243.708333333336</v>
      </c>
      <c r="J203" s="6">
        <v>46243.541666666664</v>
      </c>
      <c r="K203" s="1" t="s">
        <v>66</v>
      </c>
      <c r="L203" s="1" t="s">
        <v>34</v>
      </c>
      <c r="M203" s="6"/>
      <c r="N203" s="6"/>
      <c r="O203" s="1">
        <v>0</v>
      </c>
      <c r="P203" s="1">
        <v>5</v>
      </c>
      <c r="Q203" s="5">
        <f t="shared" si="21"/>
        <v>1</v>
      </c>
      <c r="R203" s="5">
        <f t="shared" si="22"/>
        <v>1</v>
      </c>
      <c r="S203" s="5">
        <f t="shared" si="23"/>
        <v>0</v>
      </c>
      <c r="T203" s="5">
        <f t="shared" si="24"/>
        <v>0</v>
      </c>
      <c r="U203" s="5">
        <f t="shared" si="25"/>
        <v>0</v>
      </c>
      <c r="V203" s="5" t="str">
        <f t="shared" si="26"/>
        <v>无</v>
      </c>
      <c r="W203" s="5">
        <f t="shared" si="27"/>
        <v>1</v>
      </c>
    </row>
    <row r="204" spans="1:23" ht="17.25" customHeight="1">
      <c r="A204" s="1" t="s">
        <v>270</v>
      </c>
      <c r="B204" s="1" t="s">
        <v>21</v>
      </c>
      <c r="C204" s="1" t="s">
        <v>24</v>
      </c>
      <c r="D204" s="1" t="s">
        <v>29</v>
      </c>
      <c r="E204" s="6">
        <v>46242.777777777781</v>
      </c>
      <c r="F204" s="6">
        <v>46242.888194444444</v>
      </c>
      <c r="G204" s="6">
        <v>46243.625</v>
      </c>
      <c r="H204" s="6">
        <v>46243.582638888889</v>
      </c>
      <c r="I204" s="6">
        <v>46243.791666666664</v>
      </c>
      <c r="J204" s="6">
        <v>46243.663194444445</v>
      </c>
      <c r="K204" s="1" t="s">
        <v>66</v>
      </c>
      <c r="L204" s="1" t="s">
        <v>34</v>
      </c>
      <c r="M204" s="6"/>
      <c r="N204" s="6"/>
      <c r="O204" s="1">
        <v>0</v>
      </c>
      <c r="P204" s="1"/>
      <c r="Q204" s="5">
        <f t="shared" si="21"/>
        <v>1</v>
      </c>
      <c r="R204" s="5">
        <f t="shared" si="22"/>
        <v>1</v>
      </c>
      <c r="S204" s="5">
        <f t="shared" si="23"/>
        <v>0</v>
      </c>
      <c r="T204" s="5">
        <f t="shared" si="24"/>
        <v>0</v>
      </c>
      <c r="U204" s="5">
        <f t="shared" si="25"/>
        <v>0</v>
      </c>
      <c r="V204" s="5" t="str">
        <f t="shared" si="26"/>
        <v>无</v>
      </c>
      <c r="W204" s="5">
        <f t="shared" si="27"/>
        <v>1</v>
      </c>
    </row>
    <row r="205" spans="1:23" ht="17.25" customHeight="1">
      <c r="A205" s="1" t="s">
        <v>271</v>
      </c>
      <c r="B205" s="1" t="s">
        <v>21</v>
      </c>
      <c r="C205" s="1" t="s">
        <v>26</v>
      </c>
      <c r="D205" s="1" t="s">
        <v>29</v>
      </c>
      <c r="E205" s="6">
        <v>46243.368055555555</v>
      </c>
      <c r="F205" s="6">
        <v>46243.470833333333</v>
      </c>
      <c r="G205" s="6">
        <v>46244.625</v>
      </c>
      <c r="H205" s="6">
        <v>46244.609027777777</v>
      </c>
      <c r="I205" s="6">
        <v>46244.75</v>
      </c>
      <c r="J205" s="6">
        <v>46244.699305555558</v>
      </c>
      <c r="K205" s="1" t="s">
        <v>66</v>
      </c>
      <c r="L205" s="1" t="s">
        <v>34</v>
      </c>
      <c r="M205" s="6"/>
      <c r="N205" s="6"/>
      <c r="O205" s="1">
        <v>0</v>
      </c>
      <c r="P205" s="1"/>
      <c r="Q205" s="5">
        <f t="shared" si="21"/>
        <v>1</v>
      </c>
      <c r="R205" s="5">
        <f t="shared" si="22"/>
        <v>1</v>
      </c>
      <c r="S205" s="5">
        <f t="shared" si="23"/>
        <v>0</v>
      </c>
      <c r="T205" s="5">
        <f t="shared" si="24"/>
        <v>0</v>
      </c>
      <c r="U205" s="5">
        <f t="shared" si="25"/>
        <v>0</v>
      </c>
      <c r="V205" s="5" t="str">
        <f t="shared" si="26"/>
        <v>无</v>
      </c>
      <c r="W205" s="5">
        <f t="shared" si="27"/>
        <v>1</v>
      </c>
    </row>
    <row r="206" spans="1:23" ht="17.25" customHeight="1">
      <c r="A206" s="1" t="s">
        <v>272</v>
      </c>
      <c r="B206" s="1" t="s">
        <v>20</v>
      </c>
      <c r="C206" s="1" t="s">
        <v>26</v>
      </c>
      <c r="D206" s="1" t="s">
        <v>27</v>
      </c>
      <c r="E206" s="6">
        <v>46243.371527777781</v>
      </c>
      <c r="F206" s="6">
        <v>46243.433333333334</v>
      </c>
      <c r="G206" s="6">
        <v>46244.416666666664</v>
      </c>
      <c r="H206" s="6">
        <v>46244.375694444447</v>
      </c>
      <c r="I206" s="6">
        <v>46244.541666666664</v>
      </c>
      <c r="J206" s="6">
        <v>46244.463194444441</v>
      </c>
      <c r="K206" s="1" t="s">
        <v>66</v>
      </c>
      <c r="L206" s="1" t="s">
        <v>34</v>
      </c>
      <c r="M206" s="6"/>
      <c r="N206" s="6"/>
      <c r="O206" s="1">
        <v>0</v>
      </c>
      <c r="P206" s="1">
        <v>5</v>
      </c>
      <c r="Q206" s="5">
        <f t="shared" si="21"/>
        <v>1</v>
      </c>
      <c r="R206" s="5">
        <f t="shared" si="22"/>
        <v>1</v>
      </c>
      <c r="S206" s="5">
        <f t="shared" si="23"/>
        <v>0</v>
      </c>
      <c r="T206" s="5">
        <f t="shared" si="24"/>
        <v>0</v>
      </c>
      <c r="U206" s="5">
        <f t="shared" si="25"/>
        <v>0</v>
      </c>
      <c r="V206" s="5" t="str">
        <f t="shared" si="26"/>
        <v>无</v>
      </c>
      <c r="W206" s="5">
        <f t="shared" si="27"/>
        <v>1</v>
      </c>
    </row>
    <row r="207" spans="1:23" ht="17.25" customHeight="1">
      <c r="A207" s="1" t="s">
        <v>273</v>
      </c>
      <c r="B207" s="1" t="s">
        <v>22</v>
      </c>
      <c r="C207" s="1" t="s">
        <v>25</v>
      </c>
      <c r="D207" s="1" t="s">
        <v>31</v>
      </c>
      <c r="E207" s="6">
        <v>46243.388888888891</v>
      </c>
      <c r="F207" s="6">
        <v>46243.53402777778</v>
      </c>
      <c r="G207" s="6">
        <v>46244.708333333336</v>
      </c>
      <c r="H207" s="6">
        <v>46244.698611111111</v>
      </c>
      <c r="I207" s="6">
        <v>46244.916666666664</v>
      </c>
      <c r="J207" s="6">
        <v>46244.794444444444</v>
      </c>
      <c r="K207" s="1" t="s">
        <v>66</v>
      </c>
      <c r="L207" s="1" t="s">
        <v>34</v>
      </c>
      <c r="M207" s="6"/>
      <c r="N207" s="6"/>
      <c r="O207" s="1">
        <v>0</v>
      </c>
      <c r="P207" s="1">
        <v>5</v>
      </c>
      <c r="Q207" s="5">
        <f t="shared" si="21"/>
        <v>1</v>
      </c>
      <c r="R207" s="5">
        <f t="shared" si="22"/>
        <v>1</v>
      </c>
      <c r="S207" s="5">
        <f t="shared" si="23"/>
        <v>0</v>
      </c>
      <c r="T207" s="5">
        <f t="shared" si="24"/>
        <v>0</v>
      </c>
      <c r="U207" s="5">
        <f t="shared" si="25"/>
        <v>0</v>
      </c>
      <c r="V207" s="5" t="str">
        <f t="shared" si="26"/>
        <v>无</v>
      </c>
      <c r="W207" s="5">
        <f t="shared" si="27"/>
        <v>1</v>
      </c>
    </row>
    <row r="208" spans="1:23" ht="17.25" customHeight="1">
      <c r="A208" s="1" t="s">
        <v>274</v>
      </c>
      <c r="B208" s="1" t="s">
        <v>20</v>
      </c>
      <c r="C208" s="1" t="s">
        <v>26</v>
      </c>
      <c r="D208" s="1" t="s">
        <v>27</v>
      </c>
      <c r="E208" s="6">
        <v>46243.420138888891</v>
      </c>
      <c r="F208" s="6">
        <v>46243.442361111112</v>
      </c>
      <c r="G208" s="6">
        <v>46244.5</v>
      </c>
      <c r="H208" s="6">
        <v>46244.477083333331</v>
      </c>
      <c r="I208" s="6">
        <v>46244.625</v>
      </c>
      <c r="J208" s="6">
        <v>46244.5625</v>
      </c>
      <c r="K208" s="1" t="s">
        <v>66</v>
      </c>
      <c r="L208" s="1" t="s">
        <v>34</v>
      </c>
      <c r="M208" s="6"/>
      <c r="N208" s="6"/>
      <c r="O208" s="1">
        <v>0</v>
      </c>
      <c r="P208" s="1">
        <v>5</v>
      </c>
      <c r="Q208" s="5">
        <f t="shared" si="21"/>
        <v>1</v>
      </c>
      <c r="R208" s="5">
        <f t="shared" si="22"/>
        <v>1</v>
      </c>
      <c r="S208" s="5">
        <f t="shared" si="23"/>
        <v>0</v>
      </c>
      <c r="T208" s="5">
        <f t="shared" si="24"/>
        <v>0</v>
      </c>
      <c r="U208" s="5">
        <f t="shared" si="25"/>
        <v>0</v>
      </c>
      <c r="V208" s="5" t="str">
        <f t="shared" si="26"/>
        <v>无</v>
      </c>
      <c r="W208" s="5">
        <f t="shared" si="27"/>
        <v>1</v>
      </c>
    </row>
    <row r="209" spans="1:23" ht="17.25" customHeight="1">
      <c r="A209" s="1" t="s">
        <v>275</v>
      </c>
      <c r="B209" s="1" t="s">
        <v>21</v>
      </c>
      <c r="C209" s="1" t="s">
        <v>25</v>
      </c>
      <c r="D209" s="1" t="s">
        <v>30</v>
      </c>
      <c r="E209" s="6">
        <v>46243.434027777781</v>
      </c>
      <c r="F209" s="6">
        <v>46243.556944444441</v>
      </c>
      <c r="G209" s="6">
        <v>46246.708333333336</v>
      </c>
      <c r="H209" s="6">
        <v>46246.682638888888</v>
      </c>
      <c r="I209" s="6">
        <v>46246.916666666664</v>
      </c>
      <c r="J209" s="6"/>
      <c r="K209" s="1" t="s">
        <v>73</v>
      </c>
      <c r="L209" s="1" t="s">
        <v>37</v>
      </c>
      <c r="M209" s="6">
        <v>46246.916666666664</v>
      </c>
      <c r="N209" s="6"/>
      <c r="O209" s="1">
        <v>0</v>
      </c>
      <c r="P209" s="1"/>
      <c r="Q209" s="5">
        <f t="shared" si="21"/>
        <v>1</v>
      </c>
      <c r="R209" s="5">
        <f t="shared" si="22"/>
        <v>0</v>
      </c>
      <c r="S209" s="5">
        <f t="shared" si="23"/>
        <v>1</v>
      </c>
      <c r="T209" s="5">
        <f t="shared" si="24"/>
        <v>0</v>
      </c>
      <c r="U209" s="5">
        <f t="shared" si="25"/>
        <v>1</v>
      </c>
      <c r="V209" s="5" t="str">
        <f t="shared" si="26"/>
        <v>完工超时</v>
      </c>
      <c r="W209" s="5">
        <f t="shared" si="27"/>
        <v>1</v>
      </c>
    </row>
    <row r="210" spans="1:23" ht="17.25" customHeight="1">
      <c r="A210" s="1" t="s">
        <v>276</v>
      </c>
      <c r="B210" s="1" t="s">
        <v>21</v>
      </c>
      <c r="C210" s="1" t="s">
        <v>24</v>
      </c>
      <c r="D210" s="1" t="s">
        <v>29</v>
      </c>
      <c r="E210" s="6">
        <v>46243.451388888891</v>
      </c>
      <c r="F210" s="6">
        <v>46243.609722222223</v>
      </c>
      <c r="G210" s="6">
        <v>46244.625</v>
      </c>
      <c r="H210" s="6">
        <v>46244.598611111112</v>
      </c>
      <c r="I210" s="6">
        <v>46244.791666666664</v>
      </c>
      <c r="J210" s="6">
        <v>46244.690972222219</v>
      </c>
      <c r="K210" s="1" t="s">
        <v>66</v>
      </c>
      <c r="L210" s="1" t="s">
        <v>34</v>
      </c>
      <c r="M210" s="6"/>
      <c r="N210" s="6"/>
      <c r="O210" s="1">
        <v>0</v>
      </c>
      <c r="P210" s="1">
        <v>3</v>
      </c>
      <c r="Q210" s="5">
        <f t="shared" si="21"/>
        <v>1</v>
      </c>
      <c r="R210" s="5">
        <f t="shared" si="22"/>
        <v>1</v>
      </c>
      <c r="S210" s="5">
        <f t="shared" si="23"/>
        <v>0</v>
      </c>
      <c r="T210" s="5">
        <f t="shared" si="24"/>
        <v>0</v>
      </c>
      <c r="U210" s="5">
        <f t="shared" si="25"/>
        <v>0</v>
      </c>
      <c r="V210" s="5" t="str">
        <f t="shared" si="26"/>
        <v>无</v>
      </c>
      <c r="W210" s="5">
        <f t="shared" si="27"/>
        <v>1</v>
      </c>
    </row>
    <row r="211" spans="1:23" ht="17.25" customHeight="1">
      <c r="A211" s="1" t="s">
        <v>277</v>
      </c>
      <c r="B211" s="1" t="s">
        <v>22</v>
      </c>
      <c r="C211" s="1" t="s">
        <v>25</v>
      </c>
      <c r="D211" s="1" t="s">
        <v>32</v>
      </c>
      <c r="E211" s="6">
        <v>46243.493055555555</v>
      </c>
      <c r="F211" s="6">
        <v>46243.536805555559</v>
      </c>
      <c r="G211" s="6">
        <v>46244.625</v>
      </c>
      <c r="H211" s="6">
        <v>46244.6</v>
      </c>
      <c r="I211" s="6">
        <v>46244.833333333336</v>
      </c>
      <c r="J211" s="6">
        <v>46244.683333333334</v>
      </c>
      <c r="K211" s="1" t="s">
        <v>66</v>
      </c>
      <c r="L211" s="1" t="s">
        <v>34</v>
      </c>
      <c r="M211" s="6"/>
      <c r="N211" s="6"/>
      <c r="O211" s="1">
        <v>0</v>
      </c>
      <c r="P211" s="1"/>
      <c r="Q211" s="5">
        <f t="shared" si="21"/>
        <v>1</v>
      </c>
      <c r="R211" s="5">
        <f t="shared" si="22"/>
        <v>1</v>
      </c>
      <c r="S211" s="5">
        <f t="shared" si="23"/>
        <v>0</v>
      </c>
      <c r="T211" s="5">
        <f t="shared" si="24"/>
        <v>0</v>
      </c>
      <c r="U211" s="5">
        <f t="shared" si="25"/>
        <v>0</v>
      </c>
      <c r="V211" s="5" t="str">
        <f t="shared" si="26"/>
        <v>无</v>
      </c>
      <c r="W211" s="5">
        <f t="shared" si="27"/>
        <v>1</v>
      </c>
    </row>
    <row r="212" spans="1:23" ht="17.25" customHeight="1">
      <c r="A212" s="1" t="s">
        <v>278</v>
      </c>
      <c r="B212" s="1" t="s">
        <v>22</v>
      </c>
      <c r="C212" s="1" t="s">
        <v>26</v>
      </c>
      <c r="D212" s="1" t="s">
        <v>32</v>
      </c>
      <c r="E212" s="6">
        <v>46243.53125</v>
      </c>
      <c r="F212" s="6">
        <v>46244.443749999999</v>
      </c>
      <c r="G212" s="6">
        <v>46244.416666666664</v>
      </c>
      <c r="H212" s="6">
        <v>46244.513194444444</v>
      </c>
      <c r="I212" s="6">
        <v>46244.541666666664</v>
      </c>
      <c r="J212" s="6">
        <v>46244.567361111112</v>
      </c>
      <c r="K212" s="1" t="s">
        <v>66</v>
      </c>
      <c r="L212" s="1" t="s">
        <v>35</v>
      </c>
      <c r="M212" s="6">
        <v>46244.416666666664</v>
      </c>
      <c r="N212" s="6">
        <v>46244.602777777778</v>
      </c>
      <c r="O212" s="1">
        <v>0</v>
      </c>
      <c r="P212" s="1">
        <v>2</v>
      </c>
      <c r="Q212" s="5">
        <f t="shared" si="21"/>
        <v>0</v>
      </c>
      <c r="R212" s="5">
        <f t="shared" si="22"/>
        <v>0</v>
      </c>
      <c r="S212" s="5">
        <f t="shared" si="23"/>
        <v>1</v>
      </c>
      <c r="T212" s="5">
        <f t="shared" si="24"/>
        <v>1</v>
      </c>
      <c r="U212" s="5">
        <f t="shared" si="25"/>
        <v>0</v>
      </c>
      <c r="V212" s="5" t="str">
        <f t="shared" si="26"/>
        <v>派单超时</v>
      </c>
      <c r="W212" s="5">
        <f t="shared" si="27"/>
        <v>1</v>
      </c>
    </row>
    <row r="213" spans="1:23" ht="17.25" customHeight="1">
      <c r="A213" s="1" t="s">
        <v>279</v>
      </c>
      <c r="B213" s="1" t="s">
        <v>20</v>
      </c>
      <c r="C213" s="1" t="s">
        <v>24</v>
      </c>
      <c r="D213" s="1" t="s">
        <v>27</v>
      </c>
      <c r="E213" s="6">
        <v>46243.541666666664</v>
      </c>
      <c r="F213" s="6">
        <v>46244.637499999997</v>
      </c>
      <c r="G213" s="6">
        <v>46244.625</v>
      </c>
      <c r="H213" s="6">
        <v>46244.713888888888</v>
      </c>
      <c r="I213" s="6">
        <v>46244.791666666664</v>
      </c>
      <c r="J213" s="6">
        <v>46244.81527777778</v>
      </c>
      <c r="K213" s="1" t="s">
        <v>66</v>
      </c>
      <c r="L213" s="1" t="s">
        <v>35</v>
      </c>
      <c r="M213" s="6">
        <v>46244.625</v>
      </c>
      <c r="N213" s="6">
        <v>46244.918749999997</v>
      </c>
      <c r="O213" s="1">
        <v>0</v>
      </c>
      <c r="P213" s="1">
        <v>5</v>
      </c>
      <c r="Q213" s="5">
        <f t="shared" si="21"/>
        <v>0</v>
      </c>
      <c r="R213" s="5">
        <f t="shared" si="22"/>
        <v>0</v>
      </c>
      <c r="S213" s="5">
        <f t="shared" si="23"/>
        <v>1</v>
      </c>
      <c r="T213" s="5">
        <f t="shared" si="24"/>
        <v>1</v>
      </c>
      <c r="U213" s="5">
        <f t="shared" si="25"/>
        <v>0</v>
      </c>
      <c r="V213" s="5" t="str">
        <f t="shared" si="26"/>
        <v>派单超时</v>
      </c>
      <c r="W213" s="5">
        <f t="shared" si="27"/>
        <v>1</v>
      </c>
    </row>
    <row r="214" spans="1:23" ht="17.25" customHeight="1">
      <c r="A214" s="1" t="s">
        <v>280</v>
      </c>
      <c r="B214" s="1" t="s">
        <v>21</v>
      </c>
      <c r="C214" s="1" t="s">
        <v>25</v>
      </c>
      <c r="D214" s="1" t="s">
        <v>29</v>
      </c>
      <c r="E214" s="6">
        <v>46243.569444444445</v>
      </c>
      <c r="F214" s="6">
        <v>46243.642361111109</v>
      </c>
      <c r="G214" s="6">
        <v>46246.708333333336</v>
      </c>
      <c r="H214" s="6">
        <v>46246.699305555558</v>
      </c>
      <c r="I214" s="6">
        <v>46246.916666666664</v>
      </c>
      <c r="J214" s="6">
        <v>46246.763888888891</v>
      </c>
      <c r="K214" s="1" t="s">
        <v>66</v>
      </c>
      <c r="L214" s="1" t="s">
        <v>34</v>
      </c>
      <c r="M214" s="6"/>
      <c r="N214" s="6"/>
      <c r="O214" s="1">
        <v>0</v>
      </c>
      <c r="P214" s="1">
        <v>3</v>
      </c>
      <c r="Q214" s="5">
        <f t="shared" si="21"/>
        <v>1</v>
      </c>
      <c r="R214" s="5">
        <f t="shared" si="22"/>
        <v>1</v>
      </c>
      <c r="S214" s="5">
        <f t="shared" si="23"/>
        <v>0</v>
      </c>
      <c r="T214" s="5">
        <f t="shared" si="24"/>
        <v>0</v>
      </c>
      <c r="U214" s="5">
        <f t="shared" si="25"/>
        <v>0</v>
      </c>
      <c r="V214" s="5" t="str">
        <f t="shared" si="26"/>
        <v>无</v>
      </c>
      <c r="W214" s="5">
        <f t="shared" si="27"/>
        <v>1</v>
      </c>
    </row>
    <row r="215" spans="1:23" ht="17.25" customHeight="1">
      <c r="A215" s="1" t="s">
        <v>281</v>
      </c>
      <c r="B215" s="1" t="s">
        <v>20</v>
      </c>
      <c r="C215" s="1" t="s">
        <v>24</v>
      </c>
      <c r="D215" s="1" t="s">
        <v>27</v>
      </c>
      <c r="E215" s="6">
        <v>46243.572916666664</v>
      </c>
      <c r="F215" s="6">
        <v>46243.739583333336</v>
      </c>
      <c r="G215" s="6">
        <v>46244.5</v>
      </c>
      <c r="H215" s="6">
        <v>46244.465277777781</v>
      </c>
      <c r="I215" s="6">
        <v>46244.666666666664</v>
      </c>
      <c r="J215" s="6">
        <v>46244.549305555556</v>
      </c>
      <c r="K215" s="1" t="s">
        <v>66</v>
      </c>
      <c r="L215" s="1" t="s">
        <v>34</v>
      </c>
      <c r="M215" s="6"/>
      <c r="N215" s="6"/>
      <c r="O215" s="1">
        <v>0</v>
      </c>
      <c r="P215" s="1">
        <v>4</v>
      </c>
      <c r="Q215" s="5">
        <f t="shared" si="21"/>
        <v>1</v>
      </c>
      <c r="R215" s="5">
        <f t="shared" si="22"/>
        <v>1</v>
      </c>
      <c r="S215" s="5">
        <f t="shared" si="23"/>
        <v>0</v>
      </c>
      <c r="T215" s="5">
        <f t="shared" si="24"/>
        <v>0</v>
      </c>
      <c r="U215" s="5">
        <f t="shared" si="25"/>
        <v>0</v>
      </c>
      <c r="V215" s="5" t="str">
        <f t="shared" si="26"/>
        <v>无</v>
      </c>
      <c r="W215" s="5">
        <f t="shared" si="27"/>
        <v>1</v>
      </c>
    </row>
    <row r="216" spans="1:23" ht="17.25" customHeight="1">
      <c r="A216" s="1" t="s">
        <v>282</v>
      </c>
      <c r="B216" s="1" t="s">
        <v>22</v>
      </c>
      <c r="C216" s="1" t="s">
        <v>25</v>
      </c>
      <c r="D216" s="1" t="s">
        <v>31</v>
      </c>
      <c r="E216" s="6">
        <v>46243.621527777781</v>
      </c>
      <c r="F216" s="6">
        <v>46243.684027777781</v>
      </c>
      <c r="G216" s="6">
        <v>46244.708333333336</v>
      </c>
      <c r="H216" s="6">
        <v>46244.674305555556</v>
      </c>
      <c r="I216" s="6">
        <v>46244.916666666664</v>
      </c>
      <c r="J216" s="6">
        <v>46245.040972222225</v>
      </c>
      <c r="K216" s="1" t="s">
        <v>66</v>
      </c>
      <c r="L216" s="1" t="s">
        <v>37</v>
      </c>
      <c r="M216" s="6">
        <v>46244.916666666664</v>
      </c>
      <c r="N216" s="6">
        <v>46245.09375</v>
      </c>
      <c r="O216" s="1">
        <v>1</v>
      </c>
      <c r="P216" s="1">
        <v>1</v>
      </c>
      <c r="Q216" s="5">
        <f t="shared" si="21"/>
        <v>1</v>
      </c>
      <c r="R216" s="5">
        <f t="shared" si="22"/>
        <v>0</v>
      </c>
      <c r="S216" s="5">
        <f t="shared" si="23"/>
        <v>1</v>
      </c>
      <c r="T216" s="5">
        <f t="shared" si="24"/>
        <v>1</v>
      </c>
      <c r="U216" s="5">
        <f t="shared" si="25"/>
        <v>0</v>
      </c>
      <c r="V216" s="5" t="str">
        <f t="shared" si="26"/>
        <v>完工超时</v>
      </c>
      <c r="W216" s="5">
        <f t="shared" si="27"/>
        <v>1</v>
      </c>
    </row>
    <row r="217" spans="1:23" ht="17.25" customHeight="1">
      <c r="A217" s="1" t="s">
        <v>283</v>
      </c>
      <c r="B217" s="1" t="s">
        <v>22</v>
      </c>
      <c r="C217" s="1" t="s">
        <v>24</v>
      </c>
      <c r="D217" s="1" t="s">
        <v>32</v>
      </c>
      <c r="E217" s="6">
        <v>46243.670138888891</v>
      </c>
      <c r="F217" s="6">
        <v>46243.758333333331</v>
      </c>
      <c r="G217" s="6">
        <v>46246.416666666664</v>
      </c>
      <c r="H217" s="6">
        <v>46246.492361111108</v>
      </c>
      <c r="I217" s="6">
        <v>46246.583333333336</v>
      </c>
      <c r="J217" s="6">
        <v>46246.545138888891</v>
      </c>
      <c r="K217" s="1" t="s">
        <v>66</v>
      </c>
      <c r="L217" s="1" t="s">
        <v>36</v>
      </c>
      <c r="M217" s="6">
        <v>46246.416666666664</v>
      </c>
      <c r="N217" s="6">
        <v>46246.7</v>
      </c>
      <c r="O217" s="1">
        <v>0</v>
      </c>
      <c r="P217" s="1">
        <v>5</v>
      </c>
      <c r="Q217" s="5">
        <f t="shared" si="21"/>
        <v>0</v>
      </c>
      <c r="R217" s="5">
        <f t="shared" si="22"/>
        <v>1</v>
      </c>
      <c r="S217" s="5">
        <f t="shared" si="23"/>
        <v>1</v>
      </c>
      <c r="T217" s="5">
        <f t="shared" si="24"/>
        <v>1</v>
      </c>
      <c r="U217" s="5">
        <f t="shared" si="25"/>
        <v>0</v>
      </c>
      <c r="V217" s="5" t="str">
        <f t="shared" si="26"/>
        <v>上门超时</v>
      </c>
      <c r="W217" s="5">
        <f t="shared" si="27"/>
        <v>1</v>
      </c>
    </row>
    <row r="218" spans="1:23" ht="17.25" customHeight="1">
      <c r="A218" s="1" t="s">
        <v>284</v>
      </c>
      <c r="B218" s="1" t="s">
        <v>21</v>
      </c>
      <c r="C218" s="1" t="s">
        <v>25</v>
      </c>
      <c r="D218" s="1" t="s">
        <v>30</v>
      </c>
      <c r="E218" s="6">
        <v>46243.704861111109</v>
      </c>
      <c r="F218" s="6">
        <v>46243.836111111108</v>
      </c>
      <c r="G218" s="6">
        <v>46245.625</v>
      </c>
      <c r="H218" s="6">
        <v>46245.605555555558</v>
      </c>
      <c r="I218" s="6">
        <v>46245.833333333336</v>
      </c>
      <c r="J218" s="6">
        <v>46245.9</v>
      </c>
      <c r="K218" s="1" t="s">
        <v>66</v>
      </c>
      <c r="L218" s="1" t="s">
        <v>37</v>
      </c>
      <c r="M218" s="6">
        <v>46245.833333333336</v>
      </c>
      <c r="N218" s="6">
        <v>46245.963194444441</v>
      </c>
      <c r="O218" s="1">
        <v>0</v>
      </c>
      <c r="P218" s="1">
        <v>3</v>
      </c>
      <c r="Q218" s="5">
        <f t="shared" si="21"/>
        <v>1</v>
      </c>
      <c r="R218" s="5">
        <f t="shared" si="22"/>
        <v>0</v>
      </c>
      <c r="S218" s="5">
        <f t="shared" si="23"/>
        <v>1</v>
      </c>
      <c r="T218" s="5">
        <f t="shared" si="24"/>
        <v>1</v>
      </c>
      <c r="U218" s="5">
        <f t="shared" si="25"/>
        <v>0</v>
      </c>
      <c r="V218" s="5" t="str">
        <f t="shared" si="26"/>
        <v>完工超时</v>
      </c>
      <c r="W218" s="5">
        <f t="shared" si="27"/>
        <v>1</v>
      </c>
    </row>
    <row r="219" spans="1:23" ht="17.25" customHeight="1">
      <c r="A219" s="1" t="s">
        <v>285</v>
      </c>
      <c r="B219" s="1" t="s">
        <v>20</v>
      </c>
      <c r="C219" s="1" t="s">
        <v>25</v>
      </c>
      <c r="D219" s="1" t="s">
        <v>27</v>
      </c>
      <c r="E219" s="6">
        <v>46243.708333333336</v>
      </c>
      <c r="F219" s="6">
        <v>46243.82916666667</v>
      </c>
      <c r="G219" s="6">
        <v>46245.5</v>
      </c>
      <c r="H219" s="6">
        <v>46245.488194444442</v>
      </c>
      <c r="I219" s="6">
        <v>46245.708333333336</v>
      </c>
      <c r="J219" s="6">
        <v>46245.522916666669</v>
      </c>
      <c r="K219" s="1" t="s">
        <v>66</v>
      </c>
      <c r="L219" s="1" t="s">
        <v>34</v>
      </c>
      <c r="M219" s="6"/>
      <c r="N219" s="6"/>
      <c r="O219" s="1">
        <v>0</v>
      </c>
      <c r="P219" s="1">
        <v>4</v>
      </c>
      <c r="Q219" s="5">
        <f t="shared" si="21"/>
        <v>1</v>
      </c>
      <c r="R219" s="5">
        <f t="shared" si="22"/>
        <v>1</v>
      </c>
      <c r="S219" s="5">
        <f t="shared" si="23"/>
        <v>0</v>
      </c>
      <c r="T219" s="5">
        <f t="shared" si="24"/>
        <v>0</v>
      </c>
      <c r="U219" s="5">
        <f t="shared" si="25"/>
        <v>0</v>
      </c>
      <c r="V219" s="5" t="str">
        <f t="shared" si="26"/>
        <v>无</v>
      </c>
      <c r="W219" s="5">
        <f t="shared" si="27"/>
        <v>1</v>
      </c>
    </row>
    <row r="220" spans="1:23" ht="17.25" customHeight="1">
      <c r="A220" s="1" t="s">
        <v>286</v>
      </c>
      <c r="B220" s="1" t="s">
        <v>20</v>
      </c>
      <c r="C220" s="1" t="s">
        <v>26</v>
      </c>
      <c r="D220" s="1" t="s">
        <v>28</v>
      </c>
      <c r="E220" s="6">
        <v>46243.722222222219</v>
      </c>
      <c r="F220" s="6">
        <v>46243.768750000003</v>
      </c>
      <c r="G220" s="6">
        <v>46246.625</v>
      </c>
      <c r="H220" s="6">
        <v>46246.6</v>
      </c>
      <c r="I220" s="6">
        <v>46246.75</v>
      </c>
      <c r="J220" s="6">
        <v>46246.636111111111</v>
      </c>
      <c r="K220" s="1" t="s">
        <v>66</v>
      </c>
      <c r="L220" s="1" t="s">
        <v>34</v>
      </c>
      <c r="M220" s="6"/>
      <c r="N220" s="6"/>
      <c r="O220" s="1">
        <v>0</v>
      </c>
      <c r="P220" s="1">
        <v>3</v>
      </c>
      <c r="Q220" s="5">
        <f t="shared" si="21"/>
        <v>1</v>
      </c>
      <c r="R220" s="5">
        <f t="shared" si="22"/>
        <v>1</v>
      </c>
      <c r="S220" s="5">
        <f t="shared" si="23"/>
        <v>0</v>
      </c>
      <c r="T220" s="5">
        <f t="shared" si="24"/>
        <v>0</v>
      </c>
      <c r="U220" s="5">
        <f t="shared" si="25"/>
        <v>0</v>
      </c>
      <c r="V220" s="5" t="str">
        <f t="shared" si="26"/>
        <v>无</v>
      </c>
      <c r="W220" s="5">
        <f t="shared" si="27"/>
        <v>1</v>
      </c>
    </row>
    <row r="221" spans="1:23" ht="17.25" customHeight="1">
      <c r="A221" s="1" t="s">
        <v>287</v>
      </c>
      <c r="B221" s="1" t="s">
        <v>20</v>
      </c>
      <c r="C221" s="1" t="s">
        <v>24</v>
      </c>
      <c r="D221" s="1" t="s">
        <v>27</v>
      </c>
      <c r="E221" s="6">
        <v>46244.364583333336</v>
      </c>
      <c r="F221" s="6">
        <v>46244.393055555556</v>
      </c>
      <c r="G221" s="6">
        <v>46246.708333333336</v>
      </c>
      <c r="H221" s="6">
        <v>46246.674305555556</v>
      </c>
      <c r="I221" s="6">
        <v>46246.875</v>
      </c>
      <c r="J221" s="6">
        <v>46246.711805555555</v>
      </c>
      <c r="K221" s="1" t="s">
        <v>66</v>
      </c>
      <c r="L221" s="1" t="s">
        <v>34</v>
      </c>
      <c r="M221" s="6"/>
      <c r="N221" s="6"/>
      <c r="O221" s="1">
        <v>0</v>
      </c>
      <c r="P221" s="1">
        <v>4</v>
      </c>
      <c r="Q221" s="5">
        <f t="shared" si="21"/>
        <v>1</v>
      </c>
      <c r="R221" s="5">
        <f t="shared" si="22"/>
        <v>1</v>
      </c>
      <c r="S221" s="5">
        <f t="shared" si="23"/>
        <v>0</v>
      </c>
      <c r="T221" s="5">
        <f t="shared" si="24"/>
        <v>0</v>
      </c>
      <c r="U221" s="5">
        <f t="shared" si="25"/>
        <v>0</v>
      </c>
      <c r="V221" s="5" t="str">
        <f t="shared" si="26"/>
        <v>无</v>
      </c>
      <c r="W221" s="5">
        <f t="shared" si="27"/>
        <v>1</v>
      </c>
    </row>
    <row r="222" spans="1:23" ht="17.25" customHeight="1">
      <c r="A222" s="1" t="s">
        <v>288</v>
      </c>
      <c r="B222" s="1" t="s">
        <v>21</v>
      </c>
      <c r="C222" s="1" t="s">
        <v>24</v>
      </c>
      <c r="D222" s="1" t="s">
        <v>29</v>
      </c>
      <c r="E222" s="6">
        <v>46244.4375</v>
      </c>
      <c r="F222" s="6">
        <v>46244.550694444442</v>
      </c>
      <c r="G222" s="6">
        <v>46245.5</v>
      </c>
      <c r="H222" s="6">
        <v>46245.466666666667</v>
      </c>
      <c r="I222" s="6">
        <v>46245.666666666664</v>
      </c>
      <c r="J222" s="6">
        <v>46245.511111111111</v>
      </c>
      <c r="K222" s="1" t="s">
        <v>66</v>
      </c>
      <c r="L222" s="1" t="s">
        <v>34</v>
      </c>
      <c r="M222" s="6"/>
      <c r="N222" s="6"/>
      <c r="O222" s="1">
        <v>0</v>
      </c>
      <c r="P222" s="1">
        <v>5</v>
      </c>
      <c r="Q222" s="5">
        <f t="shared" si="21"/>
        <v>1</v>
      </c>
      <c r="R222" s="5">
        <f t="shared" si="22"/>
        <v>1</v>
      </c>
      <c r="S222" s="5">
        <f t="shared" si="23"/>
        <v>0</v>
      </c>
      <c r="T222" s="5">
        <f t="shared" si="24"/>
        <v>0</v>
      </c>
      <c r="U222" s="5">
        <f t="shared" si="25"/>
        <v>0</v>
      </c>
      <c r="V222" s="5" t="str">
        <f t="shared" si="26"/>
        <v>无</v>
      </c>
      <c r="W222" s="5">
        <f t="shared" si="27"/>
        <v>1</v>
      </c>
    </row>
    <row r="223" spans="1:23" ht="17.25" customHeight="1">
      <c r="A223" s="1" t="s">
        <v>289</v>
      </c>
      <c r="B223" s="1" t="s">
        <v>20</v>
      </c>
      <c r="C223" s="1" t="s">
        <v>25</v>
      </c>
      <c r="D223" s="1" t="s">
        <v>28</v>
      </c>
      <c r="E223" s="6">
        <v>46244.458333333336</v>
      </c>
      <c r="F223" s="6">
        <v>46244.479166666664</v>
      </c>
      <c r="G223" s="6">
        <v>46246.625</v>
      </c>
      <c r="H223" s="6">
        <v>46246.65902777778</v>
      </c>
      <c r="I223" s="6">
        <v>46246.833333333336</v>
      </c>
      <c r="J223" s="6">
        <v>46246.71597222222</v>
      </c>
      <c r="K223" s="1" t="s">
        <v>66</v>
      </c>
      <c r="L223" s="1" t="s">
        <v>36</v>
      </c>
      <c r="M223" s="6">
        <v>46246.625</v>
      </c>
      <c r="N223" s="6">
        <v>46246.742361111108</v>
      </c>
      <c r="O223" s="1">
        <v>0</v>
      </c>
      <c r="P223" s="1">
        <v>4</v>
      </c>
      <c r="Q223" s="5">
        <f t="shared" si="21"/>
        <v>0</v>
      </c>
      <c r="R223" s="5">
        <f t="shared" si="22"/>
        <v>1</v>
      </c>
      <c r="S223" s="5">
        <f t="shared" si="23"/>
        <v>1</v>
      </c>
      <c r="T223" s="5">
        <f t="shared" si="24"/>
        <v>1</v>
      </c>
      <c r="U223" s="5">
        <f t="shared" si="25"/>
        <v>0</v>
      </c>
      <c r="V223" s="5" t="str">
        <f t="shared" si="26"/>
        <v>上门超时</v>
      </c>
      <c r="W223" s="5">
        <f t="shared" si="27"/>
        <v>1</v>
      </c>
    </row>
    <row r="224" spans="1:23" ht="17.25" customHeight="1">
      <c r="A224" s="1" t="s">
        <v>290</v>
      </c>
      <c r="B224" s="1" t="s">
        <v>21</v>
      </c>
      <c r="C224" s="1" t="s">
        <v>25</v>
      </c>
      <c r="D224" s="1" t="s">
        <v>30</v>
      </c>
      <c r="E224" s="6">
        <v>46244.475694444445</v>
      </c>
      <c r="F224" s="6">
        <v>46244.515277777777</v>
      </c>
      <c r="G224" s="6">
        <v>46245.416666666664</v>
      </c>
      <c r="H224" s="6">
        <v>46245.405555555553</v>
      </c>
      <c r="I224" s="6">
        <v>46245.625</v>
      </c>
      <c r="J224" s="6">
        <v>46245.457638888889</v>
      </c>
      <c r="K224" s="1" t="s">
        <v>66</v>
      </c>
      <c r="L224" s="1" t="s">
        <v>34</v>
      </c>
      <c r="M224" s="6"/>
      <c r="N224" s="6"/>
      <c r="O224" s="1">
        <v>0</v>
      </c>
      <c r="P224" s="1">
        <v>5</v>
      </c>
      <c r="Q224" s="5">
        <f t="shared" si="21"/>
        <v>1</v>
      </c>
      <c r="R224" s="5">
        <f t="shared" si="22"/>
        <v>1</v>
      </c>
      <c r="S224" s="5">
        <f t="shared" si="23"/>
        <v>0</v>
      </c>
      <c r="T224" s="5">
        <f t="shared" si="24"/>
        <v>0</v>
      </c>
      <c r="U224" s="5">
        <f t="shared" si="25"/>
        <v>0</v>
      </c>
      <c r="V224" s="5" t="str">
        <f t="shared" si="26"/>
        <v>无</v>
      </c>
      <c r="W224" s="5">
        <f t="shared" si="27"/>
        <v>1</v>
      </c>
    </row>
    <row r="225" spans="1:23" ht="17.25" customHeight="1">
      <c r="A225" s="1" t="s">
        <v>291</v>
      </c>
      <c r="B225" s="1" t="s">
        <v>21</v>
      </c>
      <c r="C225" s="1" t="s">
        <v>24</v>
      </c>
      <c r="D225" s="1" t="s">
        <v>29</v>
      </c>
      <c r="E225" s="6">
        <v>46244.493055555555</v>
      </c>
      <c r="F225" s="6">
        <v>46244.620833333334</v>
      </c>
      <c r="G225" s="6">
        <v>46245.416666666664</v>
      </c>
      <c r="H225" s="6">
        <v>46245.40347222222</v>
      </c>
      <c r="I225" s="6">
        <v>46245.583333333336</v>
      </c>
      <c r="J225" s="6">
        <v>46245.475694444445</v>
      </c>
      <c r="K225" s="1" t="s">
        <v>66</v>
      </c>
      <c r="L225" s="1" t="s">
        <v>34</v>
      </c>
      <c r="M225" s="6"/>
      <c r="N225" s="6"/>
      <c r="O225" s="1">
        <v>0</v>
      </c>
      <c r="P225" s="1">
        <v>4</v>
      </c>
      <c r="Q225" s="5">
        <f t="shared" si="21"/>
        <v>1</v>
      </c>
      <c r="R225" s="5">
        <f t="shared" si="22"/>
        <v>1</v>
      </c>
      <c r="S225" s="5">
        <f t="shared" si="23"/>
        <v>0</v>
      </c>
      <c r="T225" s="5">
        <f t="shared" si="24"/>
        <v>0</v>
      </c>
      <c r="U225" s="5">
        <f t="shared" si="25"/>
        <v>0</v>
      </c>
      <c r="V225" s="5" t="str">
        <f t="shared" si="26"/>
        <v>无</v>
      </c>
      <c r="W225" s="5">
        <f t="shared" si="27"/>
        <v>1</v>
      </c>
    </row>
    <row r="226" spans="1:23" ht="17.25" customHeight="1">
      <c r="A226" s="1" t="s">
        <v>292</v>
      </c>
      <c r="B226" s="1" t="s">
        <v>20</v>
      </c>
      <c r="C226" s="1" t="s">
        <v>25</v>
      </c>
      <c r="D226" s="1" t="s">
        <v>27</v>
      </c>
      <c r="E226" s="6">
        <v>46244.503472222219</v>
      </c>
      <c r="F226" s="6">
        <v>46244.561805555553</v>
      </c>
      <c r="G226" s="6">
        <v>46246.416666666664</v>
      </c>
      <c r="H226" s="6">
        <v>46246.498611111114</v>
      </c>
      <c r="I226" s="6">
        <v>46246.625</v>
      </c>
      <c r="J226" s="6">
        <v>46246.602777777778</v>
      </c>
      <c r="K226" s="1" t="s">
        <v>66</v>
      </c>
      <c r="L226" s="1" t="s">
        <v>36</v>
      </c>
      <c r="M226" s="6">
        <v>46246.416666666664</v>
      </c>
      <c r="N226" s="6">
        <v>46246.843055555553</v>
      </c>
      <c r="O226" s="1">
        <v>0</v>
      </c>
      <c r="P226" s="1">
        <v>3</v>
      </c>
      <c r="Q226" s="5">
        <f t="shared" si="21"/>
        <v>0</v>
      </c>
      <c r="R226" s="5">
        <f t="shared" si="22"/>
        <v>1</v>
      </c>
      <c r="S226" s="5">
        <f t="shared" si="23"/>
        <v>1</v>
      </c>
      <c r="T226" s="5">
        <f t="shared" si="24"/>
        <v>1</v>
      </c>
      <c r="U226" s="5">
        <f t="shared" si="25"/>
        <v>0</v>
      </c>
      <c r="V226" s="5" t="str">
        <f t="shared" si="26"/>
        <v>上门超时</v>
      </c>
      <c r="W226" s="5">
        <f t="shared" si="27"/>
        <v>1</v>
      </c>
    </row>
    <row r="227" spans="1:23" ht="17.25" customHeight="1">
      <c r="A227" s="1" t="s">
        <v>293</v>
      </c>
      <c r="B227" s="1" t="s">
        <v>21</v>
      </c>
      <c r="C227" s="1" t="s">
        <v>24</v>
      </c>
      <c r="D227" s="1" t="s">
        <v>30</v>
      </c>
      <c r="E227" s="6">
        <v>46244.503472222219</v>
      </c>
      <c r="F227" s="6">
        <v>46244.636111111111</v>
      </c>
      <c r="G227" s="6">
        <v>46245.625</v>
      </c>
      <c r="H227" s="6">
        <v>46245.613888888889</v>
      </c>
      <c r="I227" s="6">
        <v>46245.791666666664</v>
      </c>
      <c r="J227" s="6">
        <v>46245.652777777781</v>
      </c>
      <c r="K227" s="1" t="s">
        <v>66</v>
      </c>
      <c r="L227" s="1" t="s">
        <v>34</v>
      </c>
      <c r="M227" s="6"/>
      <c r="N227" s="6"/>
      <c r="O227" s="1">
        <v>0</v>
      </c>
      <c r="P227" s="1">
        <v>5</v>
      </c>
      <c r="Q227" s="5">
        <f t="shared" si="21"/>
        <v>1</v>
      </c>
      <c r="R227" s="5">
        <f t="shared" si="22"/>
        <v>1</v>
      </c>
      <c r="S227" s="5">
        <f t="shared" si="23"/>
        <v>0</v>
      </c>
      <c r="T227" s="5">
        <f t="shared" si="24"/>
        <v>0</v>
      </c>
      <c r="U227" s="5">
        <f t="shared" si="25"/>
        <v>0</v>
      </c>
      <c r="V227" s="5" t="str">
        <f t="shared" si="26"/>
        <v>无</v>
      </c>
      <c r="W227" s="5">
        <f t="shared" si="27"/>
        <v>1</v>
      </c>
    </row>
    <row r="228" spans="1:23" ht="17.25" customHeight="1">
      <c r="A228" s="1" t="s">
        <v>294</v>
      </c>
      <c r="B228" s="1" t="s">
        <v>22</v>
      </c>
      <c r="C228" s="1" t="s">
        <v>24</v>
      </c>
      <c r="D228" s="1" t="s">
        <v>31</v>
      </c>
      <c r="E228" s="6">
        <v>46244.534722222219</v>
      </c>
      <c r="F228" s="6">
        <v>46244.7</v>
      </c>
      <c r="G228" s="6">
        <v>46245.5</v>
      </c>
      <c r="H228" s="6">
        <v>46245.452777777777</v>
      </c>
      <c r="I228" s="6">
        <v>46245.666666666664</v>
      </c>
      <c r="J228" s="6">
        <v>46245.519444444442</v>
      </c>
      <c r="K228" s="1" t="s">
        <v>66</v>
      </c>
      <c r="L228" s="1" t="s">
        <v>34</v>
      </c>
      <c r="M228" s="6"/>
      <c r="N228" s="6"/>
      <c r="O228" s="1">
        <v>0</v>
      </c>
      <c r="P228" s="1">
        <v>5</v>
      </c>
      <c r="Q228" s="5">
        <f t="shared" si="21"/>
        <v>1</v>
      </c>
      <c r="R228" s="5">
        <f t="shared" si="22"/>
        <v>1</v>
      </c>
      <c r="S228" s="5">
        <f t="shared" si="23"/>
        <v>0</v>
      </c>
      <c r="T228" s="5">
        <f t="shared" si="24"/>
        <v>0</v>
      </c>
      <c r="U228" s="5">
        <f t="shared" si="25"/>
        <v>0</v>
      </c>
      <c r="V228" s="5" t="str">
        <f t="shared" si="26"/>
        <v>无</v>
      </c>
      <c r="W228" s="5">
        <f t="shared" si="27"/>
        <v>1</v>
      </c>
    </row>
    <row r="229" spans="1:23" ht="17.25" customHeight="1">
      <c r="A229" s="1" t="s">
        <v>295</v>
      </c>
      <c r="B229" s="1" t="s">
        <v>22</v>
      </c>
      <c r="C229" s="1" t="s">
        <v>26</v>
      </c>
      <c r="D229" s="1" t="s">
        <v>31</v>
      </c>
      <c r="E229" s="6">
        <v>46244.541666666664</v>
      </c>
      <c r="F229" s="6">
        <v>46244.637499999997</v>
      </c>
      <c r="G229" s="6">
        <v>46245.5</v>
      </c>
      <c r="H229" s="6">
        <v>46245.574305555558</v>
      </c>
      <c r="I229" s="6">
        <v>46245.625</v>
      </c>
      <c r="J229" s="6">
        <v>46245.644444444442</v>
      </c>
      <c r="K229" s="1" t="s">
        <v>66</v>
      </c>
      <c r="L229" s="1" t="s">
        <v>36</v>
      </c>
      <c r="M229" s="6">
        <v>46245.5</v>
      </c>
      <c r="N229" s="6"/>
      <c r="O229" s="1">
        <v>0</v>
      </c>
      <c r="P229" s="1">
        <v>4</v>
      </c>
      <c r="Q229" s="5">
        <f t="shared" si="21"/>
        <v>0</v>
      </c>
      <c r="R229" s="5">
        <f t="shared" si="22"/>
        <v>0</v>
      </c>
      <c r="S229" s="5">
        <f t="shared" si="23"/>
        <v>1</v>
      </c>
      <c r="T229" s="5">
        <f t="shared" si="24"/>
        <v>0</v>
      </c>
      <c r="U229" s="5">
        <f t="shared" si="25"/>
        <v>1</v>
      </c>
      <c r="V229" s="5" t="str">
        <f t="shared" si="26"/>
        <v>上门超时</v>
      </c>
      <c r="W229" s="5">
        <f t="shared" si="27"/>
        <v>1</v>
      </c>
    </row>
    <row r="230" spans="1:23" ht="17.25" customHeight="1">
      <c r="A230" s="1" t="s">
        <v>296</v>
      </c>
      <c r="B230" s="1" t="s">
        <v>22</v>
      </c>
      <c r="C230" s="1" t="s">
        <v>24</v>
      </c>
      <c r="D230" s="1" t="s">
        <v>31</v>
      </c>
      <c r="E230" s="6">
        <v>46244.555555555555</v>
      </c>
      <c r="F230" s="6">
        <v>46244.619444444441</v>
      </c>
      <c r="G230" s="6">
        <v>46246.625</v>
      </c>
      <c r="H230" s="6">
        <v>46246.57708333333</v>
      </c>
      <c r="I230" s="6">
        <v>46246.791666666664</v>
      </c>
      <c r="J230" s="6">
        <v>46246.839583333334</v>
      </c>
      <c r="K230" s="1" t="s">
        <v>66</v>
      </c>
      <c r="L230" s="1" t="s">
        <v>37</v>
      </c>
      <c r="M230" s="6">
        <v>46246.791666666664</v>
      </c>
      <c r="N230" s="6"/>
      <c r="O230" s="1">
        <v>0</v>
      </c>
      <c r="P230" s="1">
        <v>2</v>
      </c>
      <c r="Q230" s="5">
        <f t="shared" si="21"/>
        <v>1</v>
      </c>
      <c r="R230" s="5">
        <f t="shared" si="22"/>
        <v>0</v>
      </c>
      <c r="S230" s="5">
        <f t="shared" si="23"/>
        <v>1</v>
      </c>
      <c r="T230" s="5">
        <f t="shared" si="24"/>
        <v>0</v>
      </c>
      <c r="U230" s="5">
        <f t="shared" si="25"/>
        <v>1</v>
      </c>
      <c r="V230" s="5" t="str">
        <f t="shared" si="26"/>
        <v>完工超时</v>
      </c>
      <c r="W230" s="5">
        <f t="shared" si="27"/>
        <v>1</v>
      </c>
    </row>
    <row r="231" spans="1:23" ht="17.25" customHeight="1">
      <c r="A231" s="1" t="s">
        <v>297</v>
      </c>
      <c r="B231" s="1" t="s">
        <v>22</v>
      </c>
      <c r="C231" s="1" t="s">
        <v>24</v>
      </c>
      <c r="D231" s="1" t="s">
        <v>32</v>
      </c>
      <c r="E231" s="6">
        <v>46244.631944444445</v>
      </c>
      <c r="F231" s="6">
        <v>46244.740277777775</v>
      </c>
      <c r="G231" s="6">
        <v>46246.416666666664</v>
      </c>
      <c r="H231" s="6">
        <v>46246.384722222225</v>
      </c>
      <c r="I231" s="6">
        <v>46246.583333333336</v>
      </c>
      <c r="J231" s="6">
        <v>46246.4375</v>
      </c>
      <c r="K231" s="1" t="s">
        <v>66</v>
      </c>
      <c r="L231" s="1" t="s">
        <v>34</v>
      </c>
      <c r="M231" s="6"/>
      <c r="N231" s="6"/>
      <c r="O231" s="1">
        <v>0</v>
      </c>
      <c r="P231" s="1">
        <v>4</v>
      </c>
      <c r="Q231" s="5">
        <f t="shared" si="21"/>
        <v>1</v>
      </c>
      <c r="R231" s="5">
        <f t="shared" si="22"/>
        <v>1</v>
      </c>
      <c r="S231" s="5">
        <f t="shared" si="23"/>
        <v>0</v>
      </c>
      <c r="T231" s="5">
        <f t="shared" si="24"/>
        <v>0</v>
      </c>
      <c r="U231" s="5">
        <f t="shared" si="25"/>
        <v>0</v>
      </c>
      <c r="V231" s="5" t="str">
        <f t="shared" si="26"/>
        <v>无</v>
      </c>
      <c r="W231" s="5">
        <f t="shared" si="27"/>
        <v>1</v>
      </c>
    </row>
    <row r="232" spans="1:23" ht="17.25" customHeight="1">
      <c r="A232" s="1" t="s">
        <v>298</v>
      </c>
      <c r="B232" s="1" t="s">
        <v>20</v>
      </c>
      <c r="C232" s="1" t="s">
        <v>25</v>
      </c>
      <c r="D232" s="1" t="s">
        <v>28</v>
      </c>
      <c r="E232" s="6">
        <v>46244.642361111109</v>
      </c>
      <c r="F232" s="6">
        <v>46244.780555555553</v>
      </c>
      <c r="G232" s="6">
        <v>46245.5</v>
      </c>
      <c r="H232" s="6">
        <v>46245.472222222219</v>
      </c>
      <c r="I232" s="6">
        <v>46245.708333333336</v>
      </c>
      <c r="J232" s="6">
        <v>46245.73541666667</v>
      </c>
      <c r="K232" s="1" t="s">
        <v>66</v>
      </c>
      <c r="L232" s="1" t="s">
        <v>37</v>
      </c>
      <c r="M232" s="6">
        <v>46245.708333333336</v>
      </c>
      <c r="N232" s="6">
        <v>46245.86041666667</v>
      </c>
      <c r="O232" s="1">
        <v>0</v>
      </c>
      <c r="P232" s="1">
        <v>4</v>
      </c>
      <c r="Q232" s="5">
        <f t="shared" si="21"/>
        <v>1</v>
      </c>
      <c r="R232" s="5">
        <f t="shared" si="22"/>
        <v>0</v>
      </c>
      <c r="S232" s="5">
        <f t="shared" si="23"/>
        <v>1</v>
      </c>
      <c r="T232" s="5">
        <f t="shared" si="24"/>
        <v>1</v>
      </c>
      <c r="U232" s="5">
        <f t="shared" si="25"/>
        <v>0</v>
      </c>
      <c r="V232" s="5" t="str">
        <f t="shared" si="26"/>
        <v>完工超时</v>
      </c>
      <c r="W232" s="5">
        <f t="shared" si="27"/>
        <v>1</v>
      </c>
    </row>
    <row r="233" spans="1:23" ht="17.25" customHeight="1">
      <c r="A233" s="1" t="s">
        <v>299</v>
      </c>
      <c r="B233" s="1" t="s">
        <v>20</v>
      </c>
      <c r="C233" s="1" t="s">
        <v>24</v>
      </c>
      <c r="D233" s="1" t="s">
        <v>28</v>
      </c>
      <c r="E233" s="6">
        <v>46244.715277777781</v>
      </c>
      <c r="F233" s="6">
        <v>46244.813194444447</v>
      </c>
      <c r="G233" s="6">
        <v>46245.625</v>
      </c>
      <c r="H233" s="6">
        <v>46245.601388888892</v>
      </c>
      <c r="I233" s="6">
        <v>46245.791666666664</v>
      </c>
      <c r="J233" s="6">
        <v>46245.677083333336</v>
      </c>
      <c r="K233" s="1" t="s">
        <v>66</v>
      </c>
      <c r="L233" s="1" t="s">
        <v>34</v>
      </c>
      <c r="M233" s="6"/>
      <c r="N233" s="6"/>
      <c r="O233" s="1">
        <v>0</v>
      </c>
      <c r="P233" s="1">
        <v>4</v>
      </c>
      <c r="Q233" s="5">
        <f t="shared" si="21"/>
        <v>1</v>
      </c>
      <c r="R233" s="5">
        <f t="shared" si="22"/>
        <v>1</v>
      </c>
      <c r="S233" s="5">
        <f t="shared" si="23"/>
        <v>0</v>
      </c>
      <c r="T233" s="5">
        <f t="shared" si="24"/>
        <v>0</v>
      </c>
      <c r="U233" s="5">
        <f t="shared" si="25"/>
        <v>0</v>
      </c>
      <c r="V233" s="5" t="str">
        <f t="shared" si="26"/>
        <v>无</v>
      </c>
      <c r="W233" s="5">
        <f t="shared" si="27"/>
        <v>1</v>
      </c>
    </row>
    <row r="234" spans="1:23" ht="17.25" customHeight="1">
      <c r="A234" s="1" t="s">
        <v>300</v>
      </c>
      <c r="B234" s="1" t="s">
        <v>20</v>
      </c>
      <c r="C234" s="1" t="s">
        <v>25</v>
      </c>
      <c r="D234" s="1" t="s">
        <v>28</v>
      </c>
      <c r="E234" s="6">
        <v>46244.746527777781</v>
      </c>
      <c r="F234" s="6">
        <v>46244.772916666669</v>
      </c>
      <c r="G234" s="6">
        <v>46246.625</v>
      </c>
      <c r="H234" s="6">
        <v>46246.618055555555</v>
      </c>
      <c r="I234" s="6">
        <v>46246.833333333336</v>
      </c>
      <c r="J234" s="6">
        <v>46246.700694444444</v>
      </c>
      <c r="K234" s="1" t="s">
        <v>66</v>
      </c>
      <c r="L234" s="1" t="s">
        <v>34</v>
      </c>
      <c r="M234" s="6"/>
      <c r="N234" s="6"/>
      <c r="O234" s="1">
        <v>0</v>
      </c>
      <c r="P234" s="1">
        <v>5</v>
      </c>
      <c r="Q234" s="5">
        <f t="shared" si="21"/>
        <v>1</v>
      </c>
      <c r="R234" s="5">
        <f t="shared" si="22"/>
        <v>1</v>
      </c>
      <c r="S234" s="5">
        <f t="shared" si="23"/>
        <v>0</v>
      </c>
      <c r="T234" s="5">
        <f t="shared" si="24"/>
        <v>0</v>
      </c>
      <c r="U234" s="5">
        <f t="shared" si="25"/>
        <v>0</v>
      </c>
      <c r="V234" s="5" t="str">
        <f t="shared" si="26"/>
        <v>无</v>
      </c>
      <c r="W234" s="5">
        <f t="shared" si="27"/>
        <v>1</v>
      </c>
    </row>
    <row r="235" spans="1:23" ht="17.25" customHeight="1">
      <c r="A235" s="1" t="s">
        <v>301</v>
      </c>
      <c r="B235" s="1" t="s">
        <v>20</v>
      </c>
      <c r="C235" s="1" t="s">
        <v>24</v>
      </c>
      <c r="D235" s="1" t="s">
        <v>28</v>
      </c>
      <c r="E235" s="6">
        <v>46244.763888888891</v>
      </c>
      <c r="F235" s="6">
        <v>46244.863194444442</v>
      </c>
      <c r="G235" s="6">
        <v>46245.416666666664</v>
      </c>
      <c r="H235" s="6">
        <v>46245.370138888888</v>
      </c>
      <c r="I235" s="6">
        <v>46245.583333333336</v>
      </c>
      <c r="J235" s="6">
        <v>46245.42083333333</v>
      </c>
      <c r="K235" s="1" t="s">
        <v>66</v>
      </c>
      <c r="L235" s="1" t="s">
        <v>34</v>
      </c>
      <c r="M235" s="6"/>
      <c r="N235" s="6"/>
      <c r="O235" s="1">
        <v>0</v>
      </c>
      <c r="P235" s="1">
        <v>4</v>
      </c>
      <c r="Q235" s="5">
        <f t="shared" si="21"/>
        <v>1</v>
      </c>
      <c r="R235" s="5">
        <f t="shared" si="22"/>
        <v>1</v>
      </c>
      <c r="S235" s="5">
        <f t="shared" si="23"/>
        <v>0</v>
      </c>
      <c r="T235" s="5">
        <f t="shared" si="24"/>
        <v>0</v>
      </c>
      <c r="U235" s="5">
        <f t="shared" si="25"/>
        <v>0</v>
      </c>
      <c r="V235" s="5" t="str">
        <f t="shared" si="26"/>
        <v>无</v>
      </c>
      <c r="W235" s="5">
        <f t="shared" si="27"/>
        <v>1</v>
      </c>
    </row>
    <row r="236" spans="1:23" ht="17.25" customHeight="1">
      <c r="A236" s="1" t="s">
        <v>302</v>
      </c>
      <c r="B236" s="1" t="s">
        <v>21</v>
      </c>
      <c r="C236" s="1" t="s">
        <v>25</v>
      </c>
      <c r="D236" s="1" t="s">
        <v>29</v>
      </c>
      <c r="E236" s="6">
        <v>46244.770833333336</v>
      </c>
      <c r="F236" s="6">
        <v>46244.834722222222</v>
      </c>
      <c r="G236" s="6">
        <v>46245.416666666664</v>
      </c>
      <c r="H236" s="6">
        <v>46245.373611111114</v>
      </c>
      <c r="I236" s="6">
        <v>46245.625</v>
      </c>
      <c r="J236" s="6">
        <v>46245.470138888886</v>
      </c>
      <c r="K236" s="1" t="s">
        <v>66</v>
      </c>
      <c r="L236" s="1" t="s">
        <v>34</v>
      </c>
      <c r="M236" s="6"/>
      <c r="N236" s="6"/>
      <c r="O236" s="1">
        <v>0</v>
      </c>
      <c r="P236" s="1">
        <v>4</v>
      </c>
      <c r="Q236" s="5">
        <f t="shared" si="21"/>
        <v>1</v>
      </c>
      <c r="R236" s="5">
        <f t="shared" si="22"/>
        <v>1</v>
      </c>
      <c r="S236" s="5">
        <f t="shared" si="23"/>
        <v>0</v>
      </c>
      <c r="T236" s="5">
        <f t="shared" si="24"/>
        <v>0</v>
      </c>
      <c r="U236" s="5">
        <f t="shared" si="25"/>
        <v>0</v>
      </c>
      <c r="V236" s="5" t="str">
        <f t="shared" si="26"/>
        <v>无</v>
      </c>
      <c r="W236" s="5">
        <f t="shared" si="27"/>
        <v>1</v>
      </c>
    </row>
    <row r="237" spans="1:23" ht="17.25" customHeight="1">
      <c r="A237" s="1" t="s">
        <v>303</v>
      </c>
      <c r="B237" s="1" t="s">
        <v>22</v>
      </c>
      <c r="C237" s="1" t="s">
        <v>24</v>
      </c>
      <c r="D237" s="1" t="s">
        <v>32</v>
      </c>
      <c r="E237" s="6">
        <v>46245.375</v>
      </c>
      <c r="F237" s="6">
        <v>46245.479166666664</v>
      </c>
      <c r="G237" s="6">
        <v>46246.708333333336</v>
      </c>
      <c r="H237" s="6">
        <v>46246.693749999999</v>
      </c>
      <c r="I237" s="6">
        <v>46246.875</v>
      </c>
      <c r="J237" s="6">
        <v>46246.779861111114</v>
      </c>
      <c r="K237" s="1" t="s">
        <v>66</v>
      </c>
      <c r="L237" s="1" t="s">
        <v>34</v>
      </c>
      <c r="M237" s="6"/>
      <c r="N237" s="6"/>
      <c r="O237" s="1">
        <v>0</v>
      </c>
      <c r="P237" s="1">
        <v>4</v>
      </c>
      <c r="Q237" s="5">
        <f t="shared" si="21"/>
        <v>1</v>
      </c>
      <c r="R237" s="5">
        <f t="shared" si="22"/>
        <v>1</v>
      </c>
      <c r="S237" s="5">
        <f t="shared" si="23"/>
        <v>0</v>
      </c>
      <c r="T237" s="5">
        <f t="shared" si="24"/>
        <v>0</v>
      </c>
      <c r="U237" s="5">
        <f t="shared" si="25"/>
        <v>0</v>
      </c>
      <c r="V237" s="5" t="str">
        <f t="shared" si="26"/>
        <v>无</v>
      </c>
      <c r="W237" s="5">
        <f t="shared" si="27"/>
        <v>1</v>
      </c>
    </row>
    <row r="238" spans="1:23" ht="17.25" customHeight="1">
      <c r="A238" s="1" t="s">
        <v>304</v>
      </c>
      <c r="B238" s="1" t="s">
        <v>20</v>
      </c>
      <c r="C238" s="1" t="s">
        <v>25</v>
      </c>
      <c r="D238" s="1" t="s">
        <v>28</v>
      </c>
      <c r="E238" s="6">
        <v>46245.413194444445</v>
      </c>
      <c r="F238" s="6">
        <v>46245.538194444445</v>
      </c>
      <c r="G238" s="6">
        <v>46247.625</v>
      </c>
      <c r="H238" s="6">
        <v>46247.688194444447</v>
      </c>
      <c r="I238" s="6">
        <v>46247.833333333336</v>
      </c>
      <c r="J238" s="6">
        <v>46247.761805555558</v>
      </c>
      <c r="K238" s="1" t="s">
        <v>66</v>
      </c>
      <c r="L238" s="1" t="s">
        <v>36</v>
      </c>
      <c r="M238" s="6">
        <v>46247.625</v>
      </c>
      <c r="N238" s="6">
        <v>46247.974305555559</v>
      </c>
      <c r="O238" s="1">
        <v>1</v>
      </c>
      <c r="P238" s="1">
        <v>2</v>
      </c>
      <c r="Q238" s="5">
        <f t="shared" si="21"/>
        <v>0</v>
      </c>
      <c r="R238" s="5">
        <f t="shared" si="22"/>
        <v>1</v>
      </c>
      <c r="S238" s="5">
        <f t="shared" si="23"/>
        <v>1</v>
      </c>
      <c r="T238" s="5">
        <f t="shared" si="24"/>
        <v>1</v>
      </c>
      <c r="U238" s="5">
        <f t="shared" si="25"/>
        <v>0</v>
      </c>
      <c r="V238" s="5" t="str">
        <f t="shared" si="26"/>
        <v>上门超时</v>
      </c>
      <c r="W238" s="5">
        <f t="shared" si="27"/>
        <v>1</v>
      </c>
    </row>
    <row r="239" spans="1:23" ht="17.25" customHeight="1">
      <c r="A239" s="1" t="s">
        <v>305</v>
      </c>
      <c r="B239" s="1" t="s">
        <v>20</v>
      </c>
      <c r="C239" s="1" t="s">
        <v>25</v>
      </c>
      <c r="D239" s="1" t="s">
        <v>28</v>
      </c>
      <c r="E239" s="6">
        <v>46245.427083333336</v>
      </c>
      <c r="F239" s="6">
        <v>46247.537499999999</v>
      </c>
      <c r="G239" s="6">
        <v>46247.5</v>
      </c>
      <c r="H239" s="6">
        <v>46247.611111111109</v>
      </c>
      <c r="I239" s="6">
        <v>46247.708333333336</v>
      </c>
      <c r="J239" s="6">
        <v>46247.702777777777</v>
      </c>
      <c r="K239" s="1" t="s">
        <v>66</v>
      </c>
      <c r="L239" s="1" t="s">
        <v>35</v>
      </c>
      <c r="M239" s="6">
        <v>46247.5</v>
      </c>
      <c r="N239" s="6">
        <v>46247.87222222222</v>
      </c>
      <c r="O239" s="1">
        <v>0</v>
      </c>
      <c r="P239" s="1">
        <v>2</v>
      </c>
      <c r="Q239" s="5">
        <f t="shared" si="21"/>
        <v>0</v>
      </c>
      <c r="R239" s="5">
        <f t="shared" si="22"/>
        <v>1</v>
      </c>
      <c r="S239" s="5">
        <f t="shared" si="23"/>
        <v>1</v>
      </c>
      <c r="T239" s="5">
        <f t="shared" si="24"/>
        <v>1</v>
      </c>
      <c r="U239" s="5">
        <f t="shared" si="25"/>
        <v>0</v>
      </c>
      <c r="V239" s="5" t="str">
        <f t="shared" si="26"/>
        <v>派单超时</v>
      </c>
      <c r="W239" s="5">
        <f t="shared" si="27"/>
        <v>1</v>
      </c>
    </row>
    <row r="240" spans="1:23" ht="17.25" customHeight="1">
      <c r="A240" s="1" t="s">
        <v>306</v>
      </c>
      <c r="B240" s="1" t="s">
        <v>22</v>
      </c>
      <c r="C240" s="1" t="s">
        <v>26</v>
      </c>
      <c r="D240" s="1" t="s">
        <v>32</v>
      </c>
      <c r="E240" s="6">
        <v>46245.482638888891</v>
      </c>
      <c r="F240" s="6">
        <v>46245.554861111108</v>
      </c>
      <c r="G240" s="6">
        <v>46246.416666666664</v>
      </c>
      <c r="H240" s="6">
        <v>46246.37777777778</v>
      </c>
      <c r="I240" s="6">
        <v>46246.541666666664</v>
      </c>
      <c r="J240" s="6">
        <v>46246.57916666667</v>
      </c>
      <c r="K240" s="1" t="s">
        <v>66</v>
      </c>
      <c r="L240" s="1" t="s">
        <v>37</v>
      </c>
      <c r="M240" s="6">
        <v>46246.541666666664</v>
      </c>
      <c r="N240" s="6">
        <v>46246.63958333333</v>
      </c>
      <c r="O240" s="1">
        <v>0</v>
      </c>
      <c r="P240" s="1">
        <v>3</v>
      </c>
      <c r="Q240" s="5">
        <f t="shared" si="21"/>
        <v>1</v>
      </c>
      <c r="R240" s="5">
        <f t="shared" si="22"/>
        <v>0</v>
      </c>
      <c r="S240" s="5">
        <f t="shared" si="23"/>
        <v>1</v>
      </c>
      <c r="T240" s="5">
        <f t="shared" si="24"/>
        <v>1</v>
      </c>
      <c r="U240" s="5">
        <f t="shared" si="25"/>
        <v>0</v>
      </c>
      <c r="V240" s="5" t="str">
        <f t="shared" si="26"/>
        <v>完工超时</v>
      </c>
      <c r="W240" s="5">
        <f t="shared" si="27"/>
        <v>1</v>
      </c>
    </row>
    <row r="241" spans="1:23" ht="17.25" customHeight="1">
      <c r="A241" s="1" t="s">
        <v>307</v>
      </c>
      <c r="B241" s="1" t="s">
        <v>21</v>
      </c>
      <c r="C241" s="1" t="s">
        <v>25</v>
      </c>
      <c r="D241" s="1" t="s">
        <v>29</v>
      </c>
      <c r="E241" s="6">
        <v>46245.493055555555</v>
      </c>
      <c r="F241" s="6">
        <v>46245.547222222223</v>
      </c>
      <c r="G241" s="6">
        <v>46246.416666666664</v>
      </c>
      <c r="H241" s="6">
        <v>46246.450694444444</v>
      </c>
      <c r="I241" s="6">
        <v>46246.625</v>
      </c>
      <c r="J241" s="6">
        <v>46246.520138888889</v>
      </c>
      <c r="K241" s="1" t="s">
        <v>66</v>
      </c>
      <c r="L241" s="1" t="s">
        <v>36</v>
      </c>
      <c r="M241" s="6">
        <v>46246.416666666664</v>
      </c>
      <c r="N241" s="6"/>
      <c r="O241" s="1">
        <v>0</v>
      </c>
      <c r="P241" s="1"/>
      <c r="Q241" s="5">
        <f t="shared" si="21"/>
        <v>0</v>
      </c>
      <c r="R241" s="5">
        <f t="shared" si="22"/>
        <v>1</v>
      </c>
      <c r="S241" s="5">
        <f t="shared" si="23"/>
        <v>1</v>
      </c>
      <c r="T241" s="5">
        <f t="shared" si="24"/>
        <v>0</v>
      </c>
      <c r="U241" s="5">
        <f t="shared" si="25"/>
        <v>1</v>
      </c>
      <c r="V241" s="5" t="str">
        <f t="shared" si="26"/>
        <v>上门超时</v>
      </c>
      <c r="W241" s="5">
        <f t="shared" si="27"/>
        <v>1</v>
      </c>
    </row>
    <row r="242" spans="1:23" ht="17.25" customHeight="1">
      <c r="A242" s="1" t="s">
        <v>308</v>
      </c>
      <c r="B242" s="1" t="s">
        <v>21</v>
      </c>
      <c r="C242" s="1" t="s">
        <v>25</v>
      </c>
      <c r="D242" s="1" t="s">
        <v>29</v>
      </c>
      <c r="E242" s="6">
        <v>46245.496527777781</v>
      </c>
      <c r="F242" s="6">
        <v>46245.519444444442</v>
      </c>
      <c r="G242" s="6">
        <v>46246.5</v>
      </c>
      <c r="H242" s="6">
        <v>46246.450694444444</v>
      </c>
      <c r="I242" s="6">
        <v>46246.708333333336</v>
      </c>
      <c r="J242" s="6">
        <v>46246.527777777781</v>
      </c>
      <c r="K242" s="1" t="s">
        <v>66</v>
      </c>
      <c r="L242" s="1" t="s">
        <v>34</v>
      </c>
      <c r="M242" s="6"/>
      <c r="N242" s="6"/>
      <c r="O242" s="1">
        <v>0</v>
      </c>
      <c r="P242" s="1">
        <v>4</v>
      </c>
      <c r="Q242" s="5">
        <f t="shared" si="21"/>
        <v>1</v>
      </c>
      <c r="R242" s="5">
        <f t="shared" si="22"/>
        <v>1</v>
      </c>
      <c r="S242" s="5">
        <f t="shared" si="23"/>
        <v>0</v>
      </c>
      <c r="T242" s="5">
        <f t="shared" si="24"/>
        <v>0</v>
      </c>
      <c r="U242" s="5">
        <f t="shared" si="25"/>
        <v>0</v>
      </c>
      <c r="V242" s="5" t="str">
        <f t="shared" si="26"/>
        <v>无</v>
      </c>
      <c r="W242" s="5">
        <f t="shared" si="27"/>
        <v>1</v>
      </c>
    </row>
    <row r="243" spans="1:23" ht="17.25" customHeight="1">
      <c r="A243" s="1" t="s">
        <v>309</v>
      </c>
      <c r="B243" s="1" t="s">
        <v>22</v>
      </c>
      <c r="C243" s="1" t="s">
        <v>24</v>
      </c>
      <c r="D243" s="1" t="s">
        <v>31</v>
      </c>
      <c r="E243" s="6">
        <v>46245.503472222219</v>
      </c>
      <c r="F243" s="6">
        <v>46245.627083333333</v>
      </c>
      <c r="G243" s="6">
        <v>46247.625</v>
      </c>
      <c r="H243" s="6"/>
      <c r="I243" s="6">
        <v>46247.791666666664</v>
      </c>
      <c r="J243" s="6"/>
      <c r="K243" s="1" t="s">
        <v>73</v>
      </c>
      <c r="L243" s="1" t="s">
        <v>36</v>
      </c>
      <c r="M243" s="6">
        <v>46247.625</v>
      </c>
      <c r="N243" s="6"/>
      <c r="O243" s="1">
        <v>1</v>
      </c>
      <c r="P243" s="1"/>
      <c r="Q243" s="5">
        <f t="shared" si="21"/>
        <v>0</v>
      </c>
      <c r="R243" s="5">
        <f t="shared" si="22"/>
        <v>0</v>
      </c>
      <c r="S243" s="5">
        <f t="shared" si="23"/>
        <v>1</v>
      </c>
      <c r="T243" s="5">
        <f t="shared" si="24"/>
        <v>0</v>
      </c>
      <c r="U243" s="5">
        <f t="shared" si="25"/>
        <v>1</v>
      </c>
      <c r="V243" s="5" t="str">
        <f t="shared" si="26"/>
        <v>上门超时</v>
      </c>
      <c r="W243" s="5">
        <f t="shared" si="27"/>
        <v>1</v>
      </c>
    </row>
    <row r="244" spans="1:23" ht="17.25" customHeight="1">
      <c r="A244" s="1" t="s">
        <v>310</v>
      </c>
      <c r="B244" s="1" t="s">
        <v>20</v>
      </c>
      <c r="C244" s="1" t="s">
        <v>26</v>
      </c>
      <c r="D244" s="1" t="s">
        <v>28</v>
      </c>
      <c r="E244" s="6">
        <v>46245.520833333336</v>
      </c>
      <c r="F244" s="6">
        <v>46245.568055555559</v>
      </c>
      <c r="G244" s="6">
        <v>46246.625</v>
      </c>
      <c r="H244" s="6">
        <v>46246.597222222219</v>
      </c>
      <c r="I244" s="6">
        <v>46246.75</v>
      </c>
      <c r="J244" s="6">
        <v>46246.648611111108</v>
      </c>
      <c r="K244" s="1" t="s">
        <v>66</v>
      </c>
      <c r="L244" s="1" t="s">
        <v>34</v>
      </c>
      <c r="M244" s="6"/>
      <c r="N244" s="6"/>
      <c r="O244" s="1">
        <v>0</v>
      </c>
      <c r="P244" s="1">
        <v>3</v>
      </c>
      <c r="Q244" s="5">
        <f t="shared" si="21"/>
        <v>1</v>
      </c>
      <c r="R244" s="5">
        <f t="shared" si="22"/>
        <v>1</v>
      </c>
      <c r="S244" s="5">
        <f t="shared" si="23"/>
        <v>0</v>
      </c>
      <c r="T244" s="5">
        <f t="shared" si="24"/>
        <v>0</v>
      </c>
      <c r="U244" s="5">
        <f t="shared" si="25"/>
        <v>0</v>
      </c>
      <c r="V244" s="5" t="str">
        <f t="shared" si="26"/>
        <v>无</v>
      </c>
      <c r="W244" s="5">
        <f t="shared" si="27"/>
        <v>1</v>
      </c>
    </row>
    <row r="245" spans="1:23" ht="17.25" customHeight="1">
      <c r="A245" s="1" t="s">
        <v>311</v>
      </c>
      <c r="B245" s="1" t="s">
        <v>20</v>
      </c>
      <c r="C245" s="1" t="s">
        <v>24</v>
      </c>
      <c r="D245" s="1" t="s">
        <v>28</v>
      </c>
      <c r="E245" s="6">
        <v>46245.538194444445</v>
      </c>
      <c r="F245" s="6">
        <v>46245.616666666669</v>
      </c>
      <c r="G245" s="6">
        <v>46246.416666666664</v>
      </c>
      <c r="H245" s="6">
        <v>46246.384027777778</v>
      </c>
      <c r="I245" s="6">
        <v>46246.583333333336</v>
      </c>
      <c r="J245" s="6">
        <v>46246.452777777777</v>
      </c>
      <c r="K245" s="1" t="s">
        <v>66</v>
      </c>
      <c r="L245" s="1" t="s">
        <v>34</v>
      </c>
      <c r="M245" s="6"/>
      <c r="N245" s="6"/>
      <c r="O245" s="1">
        <v>0</v>
      </c>
      <c r="P245" s="1">
        <v>5</v>
      </c>
      <c r="Q245" s="5">
        <f t="shared" si="21"/>
        <v>1</v>
      </c>
      <c r="R245" s="5">
        <f t="shared" si="22"/>
        <v>1</v>
      </c>
      <c r="S245" s="5">
        <f t="shared" si="23"/>
        <v>0</v>
      </c>
      <c r="T245" s="5">
        <f t="shared" si="24"/>
        <v>0</v>
      </c>
      <c r="U245" s="5">
        <f t="shared" si="25"/>
        <v>0</v>
      </c>
      <c r="V245" s="5" t="str">
        <f t="shared" si="26"/>
        <v>无</v>
      </c>
      <c r="W245" s="5">
        <f t="shared" si="27"/>
        <v>1</v>
      </c>
    </row>
    <row r="246" spans="1:23" ht="17.25" customHeight="1">
      <c r="A246" s="1" t="s">
        <v>312</v>
      </c>
      <c r="B246" s="1" t="s">
        <v>20</v>
      </c>
      <c r="C246" s="1" t="s">
        <v>25</v>
      </c>
      <c r="D246" s="1" t="s">
        <v>28</v>
      </c>
      <c r="E246" s="6">
        <v>46245.559027777781</v>
      </c>
      <c r="F246" s="6">
        <v>46245.602083333331</v>
      </c>
      <c r="G246" s="6">
        <v>46247.708333333336</v>
      </c>
      <c r="H246" s="6">
        <v>46247.67083333333</v>
      </c>
      <c r="I246" s="6">
        <v>46247.916666666664</v>
      </c>
      <c r="J246" s="6">
        <v>46247.755555555559</v>
      </c>
      <c r="K246" s="1" t="s">
        <v>66</v>
      </c>
      <c r="L246" s="1" t="s">
        <v>34</v>
      </c>
      <c r="M246" s="6"/>
      <c r="N246" s="6"/>
      <c r="O246" s="1">
        <v>0</v>
      </c>
      <c r="P246" s="1">
        <v>5</v>
      </c>
      <c r="Q246" s="5">
        <f t="shared" si="21"/>
        <v>1</v>
      </c>
      <c r="R246" s="5">
        <f t="shared" si="22"/>
        <v>1</v>
      </c>
      <c r="S246" s="5">
        <f t="shared" si="23"/>
        <v>0</v>
      </c>
      <c r="T246" s="5">
        <f t="shared" si="24"/>
        <v>0</v>
      </c>
      <c r="U246" s="5">
        <f t="shared" si="25"/>
        <v>0</v>
      </c>
      <c r="V246" s="5" t="str">
        <f t="shared" si="26"/>
        <v>无</v>
      </c>
      <c r="W246" s="5">
        <f t="shared" si="27"/>
        <v>1</v>
      </c>
    </row>
    <row r="247" spans="1:23" ht="17.25" customHeight="1">
      <c r="A247" s="1" t="s">
        <v>313</v>
      </c>
      <c r="B247" s="1" t="s">
        <v>22</v>
      </c>
      <c r="C247" s="1" t="s">
        <v>24</v>
      </c>
      <c r="D247" s="1" t="s">
        <v>32</v>
      </c>
      <c r="E247" s="6">
        <v>46245.583333333336</v>
      </c>
      <c r="F247" s="6">
        <v>46245.662499999999</v>
      </c>
      <c r="G247" s="6">
        <v>46246.708333333336</v>
      </c>
      <c r="H247" s="6">
        <v>46246.77847222222</v>
      </c>
      <c r="I247" s="6">
        <v>46246.875</v>
      </c>
      <c r="J247" s="6">
        <v>46246.817361111112</v>
      </c>
      <c r="K247" s="1" t="s">
        <v>66</v>
      </c>
      <c r="L247" s="1" t="s">
        <v>36</v>
      </c>
      <c r="M247" s="6">
        <v>46246.708333333336</v>
      </c>
      <c r="N247" s="6">
        <v>46246.887499999997</v>
      </c>
      <c r="O247" s="1">
        <v>0</v>
      </c>
      <c r="P247" s="1">
        <v>3</v>
      </c>
      <c r="Q247" s="5">
        <f t="shared" si="21"/>
        <v>0</v>
      </c>
      <c r="R247" s="5">
        <f t="shared" si="22"/>
        <v>1</v>
      </c>
      <c r="S247" s="5">
        <f t="shared" si="23"/>
        <v>1</v>
      </c>
      <c r="T247" s="5">
        <f t="shared" si="24"/>
        <v>1</v>
      </c>
      <c r="U247" s="5">
        <f t="shared" si="25"/>
        <v>0</v>
      </c>
      <c r="V247" s="5" t="str">
        <f t="shared" si="26"/>
        <v>上门超时</v>
      </c>
      <c r="W247" s="5">
        <f t="shared" si="27"/>
        <v>1</v>
      </c>
    </row>
    <row r="248" spans="1:23" ht="17.25" customHeight="1">
      <c r="A248" s="1" t="s">
        <v>314</v>
      </c>
      <c r="B248" s="1" t="s">
        <v>21</v>
      </c>
      <c r="C248" s="1" t="s">
        <v>25</v>
      </c>
      <c r="D248" s="1" t="s">
        <v>30</v>
      </c>
      <c r="E248" s="6">
        <v>46245.583333333336</v>
      </c>
      <c r="F248" s="6">
        <v>46245.682638888888</v>
      </c>
      <c r="G248" s="6">
        <v>46247.416666666664</v>
      </c>
      <c r="H248" s="6">
        <v>46247.37777777778</v>
      </c>
      <c r="I248" s="6">
        <v>46247.625</v>
      </c>
      <c r="J248" s="6">
        <v>46247.433333333334</v>
      </c>
      <c r="K248" s="1" t="s">
        <v>66</v>
      </c>
      <c r="L248" s="1" t="s">
        <v>34</v>
      </c>
      <c r="M248" s="6"/>
      <c r="N248" s="6"/>
      <c r="O248" s="1">
        <v>0</v>
      </c>
      <c r="P248" s="1">
        <v>5</v>
      </c>
      <c r="Q248" s="5">
        <f t="shared" si="21"/>
        <v>1</v>
      </c>
      <c r="R248" s="5">
        <f t="shared" si="22"/>
        <v>1</v>
      </c>
      <c r="S248" s="5">
        <f t="shared" si="23"/>
        <v>0</v>
      </c>
      <c r="T248" s="5">
        <f t="shared" si="24"/>
        <v>0</v>
      </c>
      <c r="U248" s="5">
        <f t="shared" si="25"/>
        <v>0</v>
      </c>
      <c r="V248" s="5" t="str">
        <f t="shared" si="26"/>
        <v>无</v>
      </c>
      <c r="W248" s="5">
        <f t="shared" si="27"/>
        <v>1</v>
      </c>
    </row>
    <row r="249" spans="1:23" ht="17.25" customHeight="1">
      <c r="A249" s="1" t="s">
        <v>315</v>
      </c>
      <c r="B249" s="1" t="s">
        <v>20</v>
      </c>
      <c r="C249" s="1" t="s">
        <v>26</v>
      </c>
      <c r="D249" s="1" t="s">
        <v>28</v>
      </c>
      <c r="E249" s="6">
        <v>46245.611111111109</v>
      </c>
      <c r="F249" s="6">
        <v>46245.706250000003</v>
      </c>
      <c r="G249" s="6">
        <v>46247.416666666664</v>
      </c>
      <c r="H249" s="6">
        <v>46247.398611111108</v>
      </c>
      <c r="I249" s="6">
        <v>46247.541666666664</v>
      </c>
      <c r="J249" s="6">
        <v>46247.484722222223</v>
      </c>
      <c r="K249" s="1" t="s">
        <v>66</v>
      </c>
      <c r="L249" s="1" t="s">
        <v>34</v>
      </c>
      <c r="M249" s="6"/>
      <c r="N249" s="6"/>
      <c r="O249" s="1">
        <v>0</v>
      </c>
      <c r="P249" s="1">
        <v>4</v>
      </c>
      <c r="Q249" s="5">
        <f t="shared" si="21"/>
        <v>1</v>
      </c>
      <c r="R249" s="5">
        <f t="shared" si="22"/>
        <v>1</v>
      </c>
      <c r="S249" s="5">
        <f t="shared" si="23"/>
        <v>0</v>
      </c>
      <c r="T249" s="5">
        <f t="shared" si="24"/>
        <v>0</v>
      </c>
      <c r="U249" s="5">
        <f t="shared" si="25"/>
        <v>0</v>
      </c>
      <c r="V249" s="5" t="str">
        <f t="shared" si="26"/>
        <v>无</v>
      </c>
      <c r="W249" s="5">
        <f t="shared" si="27"/>
        <v>1</v>
      </c>
    </row>
    <row r="250" spans="1:23" ht="17.25" customHeight="1">
      <c r="A250" s="1" t="s">
        <v>316</v>
      </c>
      <c r="B250" s="1" t="s">
        <v>21</v>
      </c>
      <c r="C250" s="1" t="s">
        <v>24</v>
      </c>
      <c r="D250" s="1" t="s">
        <v>29</v>
      </c>
      <c r="E250" s="6">
        <v>46245.663194444445</v>
      </c>
      <c r="F250" s="6"/>
      <c r="G250" s="6">
        <v>46246.625</v>
      </c>
      <c r="H250" s="6"/>
      <c r="I250" s="6">
        <v>46246.791666666664</v>
      </c>
      <c r="J250" s="6"/>
      <c r="K250" s="1" t="s">
        <v>73</v>
      </c>
      <c r="L250" s="1" t="s">
        <v>35</v>
      </c>
      <c r="M250" s="6">
        <v>46246.625</v>
      </c>
      <c r="N250" s="6"/>
      <c r="O250" s="1">
        <v>0</v>
      </c>
      <c r="P250" s="1"/>
      <c r="Q250" s="5">
        <f t="shared" si="21"/>
        <v>0</v>
      </c>
      <c r="R250" s="5">
        <f t="shared" si="22"/>
        <v>0</v>
      </c>
      <c r="S250" s="5">
        <f t="shared" si="23"/>
        <v>1</v>
      </c>
      <c r="T250" s="5">
        <f t="shared" si="24"/>
        <v>0</v>
      </c>
      <c r="U250" s="5">
        <f t="shared" si="25"/>
        <v>1</v>
      </c>
      <c r="V250" s="5" t="str">
        <f t="shared" si="26"/>
        <v>派单超时</v>
      </c>
      <c r="W250" s="5">
        <f t="shared" si="27"/>
        <v>1</v>
      </c>
    </row>
    <row r="251" spans="1:23" ht="17.25" customHeight="1">
      <c r="A251" s="1" t="s">
        <v>317</v>
      </c>
      <c r="B251" s="1" t="s">
        <v>22</v>
      </c>
      <c r="C251" s="1" t="s">
        <v>24</v>
      </c>
      <c r="D251" s="1" t="s">
        <v>32</v>
      </c>
      <c r="E251" s="6">
        <v>46245.670138888891</v>
      </c>
      <c r="F251" s="6">
        <v>46245.709722222222</v>
      </c>
      <c r="G251" s="6">
        <v>46246.625</v>
      </c>
      <c r="H251" s="6">
        <v>46246.576388888891</v>
      </c>
      <c r="I251" s="6">
        <v>46246.791666666664</v>
      </c>
      <c r="J251" s="6">
        <v>46246.668055555558</v>
      </c>
      <c r="K251" s="1" t="s">
        <v>66</v>
      </c>
      <c r="L251" s="1" t="s">
        <v>34</v>
      </c>
      <c r="M251" s="6"/>
      <c r="N251" s="6"/>
      <c r="O251" s="1">
        <v>0</v>
      </c>
      <c r="P251" s="1">
        <v>4</v>
      </c>
      <c r="Q251" s="5">
        <f t="shared" si="21"/>
        <v>1</v>
      </c>
      <c r="R251" s="5">
        <f t="shared" si="22"/>
        <v>1</v>
      </c>
      <c r="S251" s="5">
        <f t="shared" si="23"/>
        <v>0</v>
      </c>
      <c r="T251" s="5">
        <f t="shared" si="24"/>
        <v>0</v>
      </c>
      <c r="U251" s="5">
        <f t="shared" si="25"/>
        <v>0</v>
      </c>
      <c r="V251" s="5" t="str">
        <f t="shared" si="26"/>
        <v>无</v>
      </c>
      <c r="W251" s="5">
        <f t="shared" si="27"/>
        <v>1</v>
      </c>
    </row>
    <row r="252" spans="1:23" ht="17.25" customHeight="1">
      <c r="A252" s="1" t="s">
        <v>318</v>
      </c>
      <c r="B252" s="1" t="s">
        <v>20</v>
      </c>
      <c r="C252" s="1" t="s">
        <v>26</v>
      </c>
      <c r="D252" s="1" t="s">
        <v>28</v>
      </c>
      <c r="E252" s="6">
        <v>46245.684027777781</v>
      </c>
      <c r="F252" s="6">
        <v>46245.772916666669</v>
      </c>
      <c r="G252" s="6">
        <v>46246.708333333336</v>
      </c>
      <c r="H252" s="6">
        <v>46246.693749999999</v>
      </c>
      <c r="I252" s="6">
        <v>46246.833333333336</v>
      </c>
      <c r="J252" s="6">
        <v>46246.777777777781</v>
      </c>
      <c r="K252" s="1" t="s">
        <v>66</v>
      </c>
      <c r="L252" s="1" t="s">
        <v>34</v>
      </c>
      <c r="M252" s="6"/>
      <c r="N252" s="6"/>
      <c r="O252" s="1">
        <v>0</v>
      </c>
      <c r="P252" s="1"/>
      <c r="Q252" s="5">
        <f t="shared" si="21"/>
        <v>1</v>
      </c>
      <c r="R252" s="5">
        <f t="shared" si="22"/>
        <v>1</v>
      </c>
      <c r="S252" s="5">
        <f t="shared" si="23"/>
        <v>0</v>
      </c>
      <c r="T252" s="5">
        <f t="shared" si="24"/>
        <v>0</v>
      </c>
      <c r="U252" s="5">
        <f t="shared" si="25"/>
        <v>0</v>
      </c>
      <c r="V252" s="5" t="str">
        <f t="shared" si="26"/>
        <v>无</v>
      </c>
      <c r="W252" s="5">
        <f t="shared" si="27"/>
        <v>1</v>
      </c>
    </row>
    <row r="253" spans="1:23" ht="17.25" customHeight="1">
      <c r="A253" s="1" t="s">
        <v>319</v>
      </c>
      <c r="B253" s="1" t="s">
        <v>22</v>
      </c>
      <c r="C253" s="1" t="s">
        <v>25</v>
      </c>
      <c r="D253" s="1" t="s">
        <v>31</v>
      </c>
      <c r="E253" s="6">
        <v>46245.708333333336</v>
      </c>
      <c r="F253" s="6">
        <v>46245.862500000003</v>
      </c>
      <c r="G253" s="6">
        <v>46247.708333333336</v>
      </c>
      <c r="H253" s="6">
        <v>46247.679861111108</v>
      </c>
      <c r="I253" s="6">
        <v>46247.916666666664</v>
      </c>
      <c r="J253" s="6">
        <v>46247.763194444444</v>
      </c>
      <c r="K253" s="1" t="s">
        <v>66</v>
      </c>
      <c r="L253" s="1" t="s">
        <v>34</v>
      </c>
      <c r="M253" s="6"/>
      <c r="N253" s="6"/>
      <c r="O253" s="1">
        <v>0</v>
      </c>
      <c r="P253" s="1">
        <v>4</v>
      </c>
      <c r="Q253" s="5">
        <f t="shared" si="21"/>
        <v>1</v>
      </c>
      <c r="R253" s="5">
        <f t="shared" si="22"/>
        <v>1</v>
      </c>
      <c r="S253" s="5">
        <f t="shared" si="23"/>
        <v>0</v>
      </c>
      <c r="T253" s="5">
        <f t="shared" si="24"/>
        <v>0</v>
      </c>
      <c r="U253" s="5">
        <f t="shared" si="25"/>
        <v>0</v>
      </c>
      <c r="V253" s="5" t="str">
        <f t="shared" si="26"/>
        <v>无</v>
      </c>
      <c r="W253" s="5">
        <f t="shared" si="27"/>
        <v>1</v>
      </c>
    </row>
    <row r="254" spans="1:23" ht="17.25" customHeight="1">
      <c r="A254" s="1" t="s">
        <v>320</v>
      </c>
      <c r="B254" s="1" t="s">
        <v>20</v>
      </c>
      <c r="C254" s="1" t="s">
        <v>24</v>
      </c>
      <c r="D254" s="1" t="s">
        <v>28</v>
      </c>
      <c r="E254" s="6">
        <v>46245.722222222219</v>
      </c>
      <c r="F254" s="6">
        <v>46245.86041666667</v>
      </c>
      <c r="G254" s="6">
        <v>46247.625</v>
      </c>
      <c r="H254" s="6">
        <v>46247.57708333333</v>
      </c>
      <c r="I254" s="6">
        <v>46247.791666666664</v>
      </c>
      <c r="J254" s="6">
        <v>46247.615277777775</v>
      </c>
      <c r="K254" s="1" t="s">
        <v>66</v>
      </c>
      <c r="L254" s="1" t="s">
        <v>34</v>
      </c>
      <c r="M254" s="6"/>
      <c r="N254" s="6"/>
      <c r="O254" s="1">
        <v>0</v>
      </c>
      <c r="P254" s="1">
        <v>5</v>
      </c>
      <c r="Q254" s="5">
        <f t="shared" si="21"/>
        <v>1</v>
      </c>
      <c r="R254" s="5">
        <f t="shared" si="22"/>
        <v>1</v>
      </c>
      <c r="S254" s="5">
        <f t="shared" si="23"/>
        <v>0</v>
      </c>
      <c r="T254" s="5">
        <f t="shared" si="24"/>
        <v>0</v>
      </c>
      <c r="U254" s="5">
        <f t="shared" si="25"/>
        <v>0</v>
      </c>
      <c r="V254" s="5" t="str">
        <f t="shared" si="26"/>
        <v>无</v>
      </c>
      <c r="W254" s="5">
        <f t="shared" si="27"/>
        <v>1</v>
      </c>
    </row>
    <row r="255" spans="1:23" ht="17.25" customHeight="1">
      <c r="A255" s="1" t="s">
        <v>321</v>
      </c>
      <c r="B255" s="1" t="s">
        <v>22</v>
      </c>
      <c r="C255" s="1" t="s">
        <v>25</v>
      </c>
      <c r="D255" s="1" t="s">
        <v>31</v>
      </c>
      <c r="E255" s="6">
        <v>46245.725694444445</v>
      </c>
      <c r="F255" s="6">
        <v>46245.851388888892</v>
      </c>
      <c r="G255" s="6">
        <v>46247.625</v>
      </c>
      <c r="H255" s="6">
        <v>46247.67083333333</v>
      </c>
      <c r="I255" s="6">
        <v>46247.833333333336</v>
      </c>
      <c r="J255" s="6">
        <v>46247.767361111109</v>
      </c>
      <c r="K255" s="1" t="s">
        <v>66</v>
      </c>
      <c r="L255" s="1" t="s">
        <v>36</v>
      </c>
      <c r="M255" s="6">
        <v>46247.625</v>
      </c>
      <c r="N255" s="6">
        <v>46247.867361111108</v>
      </c>
      <c r="O255" s="1">
        <v>0</v>
      </c>
      <c r="P255" s="1"/>
      <c r="Q255" s="5">
        <f t="shared" si="21"/>
        <v>0</v>
      </c>
      <c r="R255" s="5">
        <f t="shared" si="22"/>
        <v>1</v>
      </c>
      <c r="S255" s="5">
        <f t="shared" si="23"/>
        <v>1</v>
      </c>
      <c r="T255" s="5">
        <f t="shared" si="24"/>
        <v>1</v>
      </c>
      <c r="U255" s="5">
        <f t="shared" si="25"/>
        <v>0</v>
      </c>
      <c r="V255" s="5" t="str">
        <f t="shared" si="26"/>
        <v>上门超时</v>
      </c>
      <c r="W255" s="5">
        <f t="shared" si="27"/>
        <v>1</v>
      </c>
    </row>
    <row r="256" spans="1:23" ht="17.25" customHeight="1">
      <c r="A256" s="1" t="s">
        <v>322</v>
      </c>
      <c r="B256" s="1" t="s">
        <v>20</v>
      </c>
      <c r="C256" s="1" t="s">
        <v>25</v>
      </c>
      <c r="D256" s="1" t="s">
        <v>28</v>
      </c>
      <c r="E256" s="6">
        <v>46245.739583333336</v>
      </c>
      <c r="F256" s="6">
        <v>46245.834722222222</v>
      </c>
      <c r="G256" s="6">
        <v>46246.416666666664</v>
      </c>
      <c r="H256" s="6">
        <v>46246.37777777778</v>
      </c>
      <c r="I256" s="6">
        <v>46246.625</v>
      </c>
      <c r="J256" s="6">
        <v>46246.472222222219</v>
      </c>
      <c r="K256" s="1" t="s">
        <v>66</v>
      </c>
      <c r="L256" s="1" t="s">
        <v>34</v>
      </c>
      <c r="M256" s="6"/>
      <c r="N256" s="6"/>
      <c r="O256" s="1">
        <v>1</v>
      </c>
      <c r="P256" s="1">
        <v>2</v>
      </c>
      <c r="Q256" s="5">
        <f t="shared" si="21"/>
        <v>1</v>
      </c>
      <c r="R256" s="5">
        <f t="shared" si="22"/>
        <v>1</v>
      </c>
      <c r="S256" s="5">
        <f t="shared" si="23"/>
        <v>0</v>
      </c>
      <c r="T256" s="5">
        <f t="shared" si="24"/>
        <v>0</v>
      </c>
      <c r="U256" s="5">
        <f t="shared" si="25"/>
        <v>0</v>
      </c>
      <c r="V256" s="5" t="str">
        <f t="shared" si="26"/>
        <v>无</v>
      </c>
      <c r="W256" s="5">
        <f t="shared" si="27"/>
        <v>1</v>
      </c>
    </row>
    <row r="257" spans="1:23" ht="17.25" customHeight="1">
      <c r="A257" s="1" t="s">
        <v>323</v>
      </c>
      <c r="B257" s="1" t="s">
        <v>22</v>
      </c>
      <c r="C257" s="1" t="s">
        <v>24</v>
      </c>
      <c r="D257" s="1" t="s">
        <v>32</v>
      </c>
      <c r="E257" s="6">
        <v>46245.753472222219</v>
      </c>
      <c r="F257" s="6">
        <v>46245.8</v>
      </c>
      <c r="G257" s="6">
        <v>46248.416666666664</v>
      </c>
      <c r="H257" s="6">
        <v>46248.393750000003</v>
      </c>
      <c r="I257" s="6">
        <v>46248.583333333336</v>
      </c>
      <c r="J257" s="6">
        <v>46248.440972222219</v>
      </c>
      <c r="K257" s="1" t="s">
        <v>66</v>
      </c>
      <c r="L257" s="1" t="s">
        <v>34</v>
      </c>
      <c r="M257" s="6"/>
      <c r="N257" s="6"/>
      <c r="O257" s="1">
        <v>0</v>
      </c>
      <c r="P257" s="1">
        <v>4</v>
      </c>
      <c r="Q257" s="5">
        <f t="shared" si="21"/>
        <v>1</v>
      </c>
      <c r="R257" s="5">
        <f t="shared" si="22"/>
        <v>1</v>
      </c>
      <c r="S257" s="5">
        <f t="shared" si="23"/>
        <v>0</v>
      </c>
      <c r="T257" s="5">
        <f t="shared" si="24"/>
        <v>0</v>
      </c>
      <c r="U257" s="5">
        <f t="shared" si="25"/>
        <v>0</v>
      </c>
      <c r="V257" s="5" t="str">
        <f t="shared" si="26"/>
        <v>无</v>
      </c>
      <c r="W257" s="5">
        <f t="shared" si="27"/>
        <v>1</v>
      </c>
    </row>
    <row r="258" spans="1:23" ht="17.25" customHeight="1">
      <c r="A258" s="1" t="s">
        <v>324</v>
      </c>
      <c r="B258" s="1" t="s">
        <v>20</v>
      </c>
      <c r="C258" s="1" t="s">
        <v>26</v>
      </c>
      <c r="D258" s="1" t="s">
        <v>27</v>
      </c>
      <c r="E258" s="6">
        <v>46245.78125</v>
      </c>
      <c r="F258" s="6">
        <v>46245.947222222225</v>
      </c>
      <c r="G258" s="6">
        <v>46246.708333333336</v>
      </c>
      <c r="H258" s="6">
        <v>46246.682638888888</v>
      </c>
      <c r="I258" s="6">
        <v>46246.833333333336</v>
      </c>
      <c r="J258" s="6">
        <v>46246.777777777781</v>
      </c>
      <c r="K258" s="1" t="s">
        <v>66</v>
      </c>
      <c r="L258" s="1" t="s">
        <v>34</v>
      </c>
      <c r="M258" s="6"/>
      <c r="N258" s="6"/>
      <c r="O258" s="1">
        <v>0</v>
      </c>
      <c r="P258" s="1">
        <v>5</v>
      </c>
      <c r="Q258" s="5">
        <f t="shared" ref="Q258:Q321" si="28">IF(AND(ISNUMBER(H258),H258&lt;=G258),1,0)</f>
        <v>1</v>
      </c>
      <c r="R258" s="5">
        <f t="shared" ref="R258:R321" si="29">IF(AND(ISNUMBER(J258),J258&lt;=I258),1,0)</f>
        <v>1</v>
      </c>
      <c r="S258" s="5">
        <f t="shared" ref="S258:S321" si="30">IF(V258="无",0,1)</f>
        <v>0</v>
      </c>
      <c r="T258" s="5">
        <f t="shared" ref="T258:T321" si="31">IF(AND(S258=1,ISNUMBER(N258)),1,0)</f>
        <v>0</v>
      </c>
      <c r="U258" s="5">
        <f t="shared" ref="U258:U321" si="32">IF(AND(S258=1,T258=0),1,0)</f>
        <v>0</v>
      </c>
      <c r="V258" s="5" t="str">
        <f t="shared" ref="V258:V321" si="33">IF(AND(ISNUMBER(F258),F258&lt;=G258),IF(AND(ISNUMBER(H258),H258&lt;=G258),IF(AND(ISNUMBER(J258),J258&lt;=I258),"无","完工超时"),"上门超时"),"派单超时")</f>
        <v>无</v>
      </c>
      <c r="W258" s="5">
        <f t="shared" ref="W258:W321" si="34">IF(L258=V258,1,0)</f>
        <v>1</v>
      </c>
    </row>
    <row r="259" spans="1:23" ht="17.25" customHeight="1">
      <c r="A259" s="1" t="s">
        <v>325</v>
      </c>
      <c r="B259" s="1" t="s">
        <v>21</v>
      </c>
      <c r="C259" s="1" t="s">
        <v>25</v>
      </c>
      <c r="D259" s="1" t="s">
        <v>30</v>
      </c>
      <c r="E259" s="6">
        <v>46246.333333333336</v>
      </c>
      <c r="F259" s="6">
        <v>46246.379861111112</v>
      </c>
      <c r="G259" s="6">
        <v>46247.625</v>
      </c>
      <c r="H259" s="6">
        <v>46247.57916666667</v>
      </c>
      <c r="I259" s="6">
        <v>46247.833333333336</v>
      </c>
      <c r="J259" s="6">
        <v>46247.877083333333</v>
      </c>
      <c r="K259" s="1" t="s">
        <v>66</v>
      </c>
      <c r="L259" s="1" t="s">
        <v>37</v>
      </c>
      <c r="M259" s="6">
        <v>46247.833333333336</v>
      </c>
      <c r="N259" s="6">
        <v>46248.001388888886</v>
      </c>
      <c r="O259" s="1">
        <v>0</v>
      </c>
      <c r="P259" s="1">
        <v>3</v>
      </c>
      <c r="Q259" s="5">
        <f t="shared" si="28"/>
        <v>1</v>
      </c>
      <c r="R259" s="5">
        <f t="shared" si="29"/>
        <v>0</v>
      </c>
      <c r="S259" s="5">
        <f t="shared" si="30"/>
        <v>1</v>
      </c>
      <c r="T259" s="5">
        <f t="shared" si="31"/>
        <v>1</v>
      </c>
      <c r="U259" s="5">
        <f t="shared" si="32"/>
        <v>0</v>
      </c>
      <c r="V259" s="5" t="str">
        <f t="shared" si="33"/>
        <v>完工超时</v>
      </c>
      <c r="W259" s="5">
        <f t="shared" si="34"/>
        <v>1</v>
      </c>
    </row>
    <row r="260" spans="1:23" ht="17.25" customHeight="1">
      <c r="A260" s="1" t="s">
        <v>326</v>
      </c>
      <c r="B260" s="1" t="s">
        <v>20</v>
      </c>
      <c r="C260" s="1" t="s">
        <v>24</v>
      </c>
      <c r="D260" s="1" t="s">
        <v>27</v>
      </c>
      <c r="E260" s="6">
        <v>46246.378472222219</v>
      </c>
      <c r="F260" s="6">
        <v>46246.525000000001</v>
      </c>
      <c r="G260" s="6">
        <v>46247.5</v>
      </c>
      <c r="H260" s="6">
        <v>46247.469444444447</v>
      </c>
      <c r="I260" s="6">
        <v>46247.666666666664</v>
      </c>
      <c r="J260" s="6">
        <v>46247.551388888889</v>
      </c>
      <c r="K260" s="1" t="s">
        <v>66</v>
      </c>
      <c r="L260" s="1" t="s">
        <v>34</v>
      </c>
      <c r="M260" s="6"/>
      <c r="N260" s="6"/>
      <c r="O260" s="1">
        <v>0</v>
      </c>
      <c r="P260" s="1"/>
      <c r="Q260" s="5">
        <f t="shared" si="28"/>
        <v>1</v>
      </c>
      <c r="R260" s="5">
        <f t="shared" si="29"/>
        <v>1</v>
      </c>
      <c r="S260" s="5">
        <f t="shared" si="30"/>
        <v>0</v>
      </c>
      <c r="T260" s="5">
        <f t="shared" si="31"/>
        <v>0</v>
      </c>
      <c r="U260" s="5">
        <f t="shared" si="32"/>
        <v>0</v>
      </c>
      <c r="V260" s="5" t="str">
        <f t="shared" si="33"/>
        <v>无</v>
      </c>
      <c r="W260" s="5">
        <f t="shared" si="34"/>
        <v>1</v>
      </c>
    </row>
    <row r="261" spans="1:23" ht="17.25" customHeight="1">
      <c r="A261" s="1" t="s">
        <v>327</v>
      </c>
      <c r="B261" s="1" t="s">
        <v>22</v>
      </c>
      <c r="C261" s="1" t="s">
        <v>24</v>
      </c>
      <c r="D261" s="1" t="s">
        <v>31</v>
      </c>
      <c r="E261" s="6">
        <v>46246.409722222219</v>
      </c>
      <c r="F261" s="6">
        <v>46246.501388888886</v>
      </c>
      <c r="G261" s="6">
        <v>46247.708333333336</v>
      </c>
      <c r="H261" s="6">
        <v>46247.679166666669</v>
      </c>
      <c r="I261" s="6">
        <v>46247.875</v>
      </c>
      <c r="J261" s="6">
        <v>46247.765277777777</v>
      </c>
      <c r="K261" s="1" t="s">
        <v>66</v>
      </c>
      <c r="L261" s="1" t="s">
        <v>34</v>
      </c>
      <c r="M261" s="6"/>
      <c r="N261" s="6"/>
      <c r="O261" s="1">
        <v>0</v>
      </c>
      <c r="P261" s="1">
        <v>3</v>
      </c>
      <c r="Q261" s="5">
        <f t="shared" si="28"/>
        <v>1</v>
      </c>
      <c r="R261" s="5">
        <f t="shared" si="29"/>
        <v>1</v>
      </c>
      <c r="S261" s="5">
        <f t="shared" si="30"/>
        <v>0</v>
      </c>
      <c r="T261" s="5">
        <f t="shared" si="31"/>
        <v>0</v>
      </c>
      <c r="U261" s="5">
        <f t="shared" si="32"/>
        <v>0</v>
      </c>
      <c r="V261" s="5" t="str">
        <f t="shared" si="33"/>
        <v>无</v>
      </c>
      <c r="W261" s="5">
        <f t="shared" si="34"/>
        <v>1</v>
      </c>
    </row>
    <row r="262" spans="1:23" ht="17.25" customHeight="1">
      <c r="A262" s="1" t="s">
        <v>328</v>
      </c>
      <c r="B262" s="1" t="s">
        <v>20</v>
      </c>
      <c r="C262" s="1" t="s">
        <v>25</v>
      </c>
      <c r="D262" s="1" t="s">
        <v>27</v>
      </c>
      <c r="E262" s="6">
        <v>46246.420138888891</v>
      </c>
      <c r="F262" s="6">
        <v>46246.561805555553</v>
      </c>
      <c r="G262" s="6">
        <v>46247.5</v>
      </c>
      <c r="H262" s="6">
        <v>46247.492361111108</v>
      </c>
      <c r="I262" s="6">
        <v>46247.708333333336</v>
      </c>
      <c r="J262" s="6">
        <v>46247.570833333331</v>
      </c>
      <c r="K262" s="1" t="s">
        <v>66</v>
      </c>
      <c r="L262" s="1" t="s">
        <v>34</v>
      </c>
      <c r="M262" s="6"/>
      <c r="N262" s="6"/>
      <c r="O262" s="1">
        <v>0</v>
      </c>
      <c r="P262" s="1">
        <v>4</v>
      </c>
      <c r="Q262" s="5">
        <f t="shared" si="28"/>
        <v>1</v>
      </c>
      <c r="R262" s="5">
        <f t="shared" si="29"/>
        <v>1</v>
      </c>
      <c r="S262" s="5">
        <f t="shared" si="30"/>
        <v>0</v>
      </c>
      <c r="T262" s="5">
        <f t="shared" si="31"/>
        <v>0</v>
      </c>
      <c r="U262" s="5">
        <f t="shared" si="32"/>
        <v>0</v>
      </c>
      <c r="V262" s="5" t="str">
        <f t="shared" si="33"/>
        <v>无</v>
      </c>
      <c r="W262" s="5">
        <f t="shared" si="34"/>
        <v>1</v>
      </c>
    </row>
    <row r="263" spans="1:23" ht="17.25" customHeight="1">
      <c r="A263" s="1" t="s">
        <v>329</v>
      </c>
      <c r="B263" s="1" t="s">
        <v>21</v>
      </c>
      <c r="C263" s="1" t="s">
        <v>25</v>
      </c>
      <c r="D263" s="1" t="s">
        <v>29</v>
      </c>
      <c r="E263" s="6">
        <v>46246.427083333336</v>
      </c>
      <c r="F263" s="6">
        <v>46246.456944444442</v>
      </c>
      <c r="G263" s="6">
        <v>46247.625</v>
      </c>
      <c r="H263" s="6">
        <v>46247.580555555556</v>
      </c>
      <c r="I263" s="6">
        <v>46247.833333333336</v>
      </c>
      <c r="J263" s="6">
        <v>46247.667361111111</v>
      </c>
      <c r="K263" s="1" t="s">
        <v>66</v>
      </c>
      <c r="L263" s="1" t="s">
        <v>34</v>
      </c>
      <c r="M263" s="6"/>
      <c r="N263" s="6"/>
      <c r="O263" s="1">
        <v>0</v>
      </c>
      <c r="P263" s="1"/>
      <c r="Q263" s="5">
        <f t="shared" si="28"/>
        <v>1</v>
      </c>
      <c r="R263" s="5">
        <f t="shared" si="29"/>
        <v>1</v>
      </c>
      <c r="S263" s="5">
        <f t="shared" si="30"/>
        <v>0</v>
      </c>
      <c r="T263" s="5">
        <f t="shared" si="31"/>
        <v>0</v>
      </c>
      <c r="U263" s="5">
        <f t="shared" si="32"/>
        <v>0</v>
      </c>
      <c r="V263" s="5" t="str">
        <f t="shared" si="33"/>
        <v>无</v>
      </c>
      <c r="W263" s="5">
        <f t="shared" si="34"/>
        <v>1</v>
      </c>
    </row>
    <row r="264" spans="1:23" ht="17.25" customHeight="1">
      <c r="A264" s="1" t="s">
        <v>330</v>
      </c>
      <c r="B264" s="1" t="s">
        <v>21</v>
      </c>
      <c r="C264" s="1" t="s">
        <v>24</v>
      </c>
      <c r="D264" s="1" t="s">
        <v>29</v>
      </c>
      <c r="E264" s="6">
        <v>46246.475694444445</v>
      </c>
      <c r="F264" s="6">
        <v>46246.57916666667</v>
      </c>
      <c r="G264" s="6">
        <v>46247.416666666664</v>
      </c>
      <c r="H264" s="6">
        <v>46247.393750000003</v>
      </c>
      <c r="I264" s="6">
        <v>46247.583333333336</v>
      </c>
      <c r="J264" s="6">
        <v>46247.491666666669</v>
      </c>
      <c r="K264" s="1" t="s">
        <v>66</v>
      </c>
      <c r="L264" s="1" t="s">
        <v>34</v>
      </c>
      <c r="M264" s="6"/>
      <c r="N264" s="6"/>
      <c r="O264" s="1">
        <v>0</v>
      </c>
      <c r="P264" s="1">
        <v>4</v>
      </c>
      <c r="Q264" s="5">
        <f t="shared" si="28"/>
        <v>1</v>
      </c>
      <c r="R264" s="5">
        <f t="shared" si="29"/>
        <v>1</v>
      </c>
      <c r="S264" s="5">
        <f t="shared" si="30"/>
        <v>0</v>
      </c>
      <c r="T264" s="5">
        <f t="shared" si="31"/>
        <v>0</v>
      </c>
      <c r="U264" s="5">
        <f t="shared" si="32"/>
        <v>0</v>
      </c>
      <c r="V264" s="5" t="str">
        <f t="shared" si="33"/>
        <v>无</v>
      </c>
      <c r="W264" s="5">
        <f t="shared" si="34"/>
        <v>1</v>
      </c>
    </row>
    <row r="265" spans="1:23" ht="17.25" customHeight="1">
      <c r="A265" s="1" t="s">
        <v>331</v>
      </c>
      <c r="B265" s="1" t="s">
        <v>20</v>
      </c>
      <c r="C265" s="1" t="s">
        <v>24</v>
      </c>
      <c r="D265" s="1" t="s">
        <v>27</v>
      </c>
      <c r="E265" s="6">
        <v>46246.545138888891</v>
      </c>
      <c r="F265" s="6">
        <v>46246.674305555556</v>
      </c>
      <c r="G265" s="6">
        <v>46247.625</v>
      </c>
      <c r="H265" s="6">
        <v>46247.588888888888</v>
      </c>
      <c r="I265" s="6">
        <v>46247.791666666664</v>
      </c>
      <c r="J265" s="6">
        <v>46247.679861111108</v>
      </c>
      <c r="K265" s="1" t="s">
        <v>66</v>
      </c>
      <c r="L265" s="1" t="s">
        <v>34</v>
      </c>
      <c r="M265" s="6"/>
      <c r="N265" s="6"/>
      <c r="O265" s="1">
        <v>0</v>
      </c>
      <c r="P265" s="1">
        <v>3</v>
      </c>
      <c r="Q265" s="5">
        <f t="shared" si="28"/>
        <v>1</v>
      </c>
      <c r="R265" s="5">
        <f t="shared" si="29"/>
        <v>1</v>
      </c>
      <c r="S265" s="5">
        <f t="shared" si="30"/>
        <v>0</v>
      </c>
      <c r="T265" s="5">
        <f t="shared" si="31"/>
        <v>0</v>
      </c>
      <c r="U265" s="5">
        <f t="shared" si="32"/>
        <v>0</v>
      </c>
      <c r="V265" s="5" t="str">
        <f t="shared" si="33"/>
        <v>无</v>
      </c>
      <c r="W265" s="5">
        <f t="shared" si="34"/>
        <v>1</v>
      </c>
    </row>
    <row r="266" spans="1:23" ht="17.25" customHeight="1">
      <c r="A266" s="1" t="s">
        <v>332</v>
      </c>
      <c r="B266" s="1" t="s">
        <v>20</v>
      </c>
      <c r="C266" s="1" t="s">
        <v>26</v>
      </c>
      <c r="D266" s="1" t="s">
        <v>28</v>
      </c>
      <c r="E266" s="6">
        <v>46246.583333333336</v>
      </c>
      <c r="F266" s="6">
        <v>46246.640972222223</v>
      </c>
      <c r="G266" s="6">
        <v>46247.625</v>
      </c>
      <c r="H266" s="6">
        <v>46247.611111111109</v>
      </c>
      <c r="I266" s="6">
        <v>46247.75</v>
      </c>
      <c r="J266" s="6">
        <v>46247.70208333333</v>
      </c>
      <c r="K266" s="1" t="s">
        <v>66</v>
      </c>
      <c r="L266" s="1" t="s">
        <v>34</v>
      </c>
      <c r="M266" s="6"/>
      <c r="N266" s="6"/>
      <c r="O266" s="1">
        <v>0</v>
      </c>
      <c r="P266" s="1">
        <v>5</v>
      </c>
      <c r="Q266" s="5">
        <f t="shared" si="28"/>
        <v>1</v>
      </c>
      <c r="R266" s="5">
        <f t="shared" si="29"/>
        <v>1</v>
      </c>
      <c r="S266" s="5">
        <f t="shared" si="30"/>
        <v>0</v>
      </c>
      <c r="T266" s="5">
        <f t="shared" si="31"/>
        <v>0</v>
      </c>
      <c r="U266" s="5">
        <f t="shared" si="32"/>
        <v>0</v>
      </c>
      <c r="V266" s="5" t="str">
        <f t="shared" si="33"/>
        <v>无</v>
      </c>
      <c r="W266" s="5">
        <f t="shared" si="34"/>
        <v>1</v>
      </c>
    </row>
    <row r="267" spans="1:23" ht="17.25" customHeight="1">
      <c r="A267" s="1" t="s">
        <v>333</v>
      </c>
      <c r="B267" s="1" t="s">
        <v>22</v>
      </c>
      <c r="C267" s="1" t="s">
        <v>24</v>
      </c>
      <c r="D267" s="1" t="s">
        <v>32</v>
      </c>
      <c r="E267" s="6">
        <v>46246.621527777781</v>
      </c>
      <c r="F267" s="6">
        <v>46247.665277777778</v>
      </c>
      <c r="G267" s="6">
        <v>46247.625</v>
      </c>
      <c r="H267" s="6">
        <v>46247.730555555558</v>
      </c>
      <c r="I267" s="6">
        <v>46247.791666666664</v>
      </c>
      <c r="J267" s="6">
        <v>46247.79583333333</v>
      </c>
      <c r="K267" s="1" t="s">
        <v>66</v>
      </c>
      <c r="L267" s="1" t="s">
        <v>35</v>
      </c>
      <c r="M267" s="6">
        <v>46247.625</v>
      </c>
      <c r="N267" s="6">
        <v>46247.920138888891</v>
      </c>
      <c r="O267" s="1">
        <v>0</v>
      </c>
      <c r="P267" s="1"/>
      <c r="Q267" s="5">
        <f t="shared" si="28"/>
        <v>0</v>
      </c>
      <c r="R267" s="5">
        <f t="shared" si="29"/>
        <v>0</v>
      </c>
      <c r="S267" s="5">
        <f t="shared" si="30"/>
        <v>1</v>
      </c>
      <c r="T267" s="5">
        <f t="shared" si="31"/>
        <v>1</v>
      </c>
      <c r="U267" s="5">
        <f t="shared" si="32"/>
        <v>0</v>
      </c>
      <c r="V267" s="5" t="str">
        <f t="shared" si="33"/>
        <v>派单超时</v>
      </c>
      <c r="W267" s="5">
        <f t="shared" si="34"/>
        <v>1</v>
      </c>
    </row>
    <row r="268" spans="1:23" ht="17.25" customHeight="1">
      <c r="A268" s="1" t="s">
        <v>334</v>
      </c>
      <c r="B268" s="1" t="s">
        <v>20</v>
      </c>
      <c r="C268" s="1" t="s">
        <v>25</v>
      </c>
      <c r="D268" s="1" t="s">
        <v>27</v>
      </c>
      <c r="E268" s="6">
        <v>46246.652777777781</v>
      </c>
      <c r="F268" s="6">
        <v>46246.729861111111</v>
      </c>
      <c r="G268" s="6">
        <v>46247.416666666664</v>
      </c>
      <c r="H268" s="6">
        <v>46247.366666666669</v>
      </c>
      <c r="I268" s="6">
        <v>46247.625</v>
      </c>
      <c r="J268" s="6">
        <v>46247.407638888886</v>
      </c>
      <c r="K268" s="1" t="s">
        <v>66</v>
      </c>
      <c r="L268" s="1" t="s">
        <v>34</v>
      </c>
      <c r="M268" s="6"/>
      <c r="N268" s="6"/>
      <c r="O268" s="1">
        <v>0</v>
      </c>
      <c r="P268" s="1">
        <v>5</v>
      </c>
      <c r="Q268" s="5">
        <f t="shared" si="28"/>
        <v>1</v>
      </c>
      <c r="R268" s="5">
        <f t="shared" si="29"/>
        <v>1</v>
      </c>
      <c r="S268" s="5">
        <f t="shared" si="30"/>
        <v>0</v>
      </c>
      <c r="T268" s="5">
        <f t="shared" si="31"/>
        <v>0</v>
      </c>
      <c r="U268" s="5">
        <f t="shared" si="32"/>
        <v>0</v>
      </c>
      <c r="V268" s="5" t="str">
        <f t="shared" si="33"/>
        <v>无</v>
      </c>
      <c r="W268" s="5">
        <f t="shared" si="34"/>
        <v>1</v>
      </c>
    </row>
    <row r="269" spans="1:23" ht="17.25" customHeight="1">
      <c r="A269" s="1" t="s">
        <v>335</v>
      </c>
      <c r="B269" s="1" t="s">
        <v>20</v>
      </c>
      <c r="C269" s="1" t="s">
        <v>25</v>
      </c>
      <c r="D269" s="1" t="s">
        <v>27</v>
      </c>
      <c r="E269" s="6">
        <v>46246.684027777781</v>
      </c>
      <c r="F269" s="6">
        <v>46246.84097222222</v>
      </c>
      <c r="G269" s="6">
        <v>46247.625</v>
      </c>
      <c r="H269" s="6">
        <v>46247.594444444447</v>
      </c>
      <c r="I269" s="6">
        <v>46247.833333333336</v>
      </c>
      <c r="J269" s="6">
        <v>46247.665277777778</v>
      </c>
      <c r="K269" s="1" t="s">
        <v>66</v>
      </c>
      <c r="L269" s="1" t="s">
        <v>34</v>
      </c>
      <c r="M269" s="6"/>
      <c r="N269" s="6"/>
      <c r="O269" s="1">
        <v>0</v>
      </c>
      <c r="P269" s="1">
        <v>5</v>
      </c>
      <c r="Q269" s="5">
        <f t="shared" si="28"/>
        <v>1</v>
      </c>
      <c r="R269" s="5">
        <f t="shared" si="29"/>
        <v>1</v>
      </c>
      <c r="S269" s="5">
        <f t="shared" si="30"/>
        <v>0</v>
      </c>
      <c r="T269" s="5">
        <f t="shared" si="31"/>
        <v>0</v>
      </c>
      <c r="U269" s="5">
        <f t="shared" si="32"/>
        <v>0</v>
      </c>
      <c r="V269" s="5" t="str">
        <f t="shared" si="33"/>
        <v>无</v>
      </c>
      <c r="W269" s="5">
        <f t="shared" si="34"/>
        <v>1</v>
      </c>
    </row>
    <row r="270" spans="1:23" ht="17.25" customHeight="1">
      <c r="A270" s="1" t="s">
        <v>336</v>
      </c>
      <c r="B270" s="1" t="s">
        <v>22</v>
      </c>
      <c r="C270" s="1" t="s">
        <v>24</v>
      </c>
      <c r="D270" s="1" t="s">
        <v>31</v>
      </c>
      <c r="E270" s="6">
        <v>46246.6875</v>
      </c>
      <c r="F270" s="6"/>
      <c r="G270" s="6">
        <v>46249.416666666664</v>
      </c>
      <c r="H270" s="6"/>
      <c r="I270" s="6">
        <v>46249.583333333336</v>
      </c>
      <c r="J270" s="6"/>
      <c r="K270" s="1" t="s">
        <v>73</v>
      </c>
      <c r="L270" s="1" t="s">
        <v>35</v>
      </c>
      <c r="M270" s="6">
        <v>46249.416666666664</v>
      </c>
      <c r="N270" s="6"/>
      <c r="O270" s="1">
        <v>0</v>
      </c>
      <c r="P270" s="1"/>
      <c r="Q270" s="5">
        <f t="shared" si="28"/>
        <v>0</v>
      </c>
      <c r="R270" s="5">
        <f t="shared" si="29"/>
        <v>0</v>
      </c>
      <c r="S270" s="5">
        <f t="shared" si="30"/>
        <v>1</v>
      </c>
      <c r="T270" s="5">
        <f t="shared" si="31"/>
        <v>0</v>
      </c>
      <c r="U270" s="5">
        <f t="shared" si="32"/>
        <v>1</v>
      </c>
      <c r="V270" s="5" t="str">
        <f t="shared" si="33"/>
        <v>派单超时</v>
      </c>
      <c r="W270" s="5">
        <f t="shared" si="34"/>
        <v>1</v>
      </c>
    </row>
    <row r="271" spans="1:23" ht="17.25" customHeight="1">
      <c r="A271" s="1" t="s">
        <v>337</v>
      </c>
      <c r="B271" s="1" t="s">
        <v>20</v>
      </c>
      <c r="C271" s="1" t="s">
        <v>25</v>
      </c>
      <c r="D271" s="1" t="s">
        <v>28</v>
      </c>
      <c r="E271" s="6">
        <v>46246.690972222219</v>
      </c>
      <c r="F271" s="6">
        <v>46246.844444444447</v>
      </c>
      <c r="G271" s="6">
        <v>46247.416666666664</v>
      </c>
      <c r="H271" s="6">
        <v>46247.385416666664</v>
      </c>
      <c r="I271" s="6">
        <v>46247.625</v>
      </c>
      <c r="J271" s="6">
        <v>46247.454861111109</v>
      </c>
      <c r="K271" s="1" t="s">
        <v>66</v>
      </c>
      <c r="L271" s="1" t="s">
        <v>34</v>
      </c>
      <c r="M271" s="6"/>
      <c r="N271" s="6"/>
      <c r="O271" s="1">
        <v>0</v>
      </c>
      <c r="P271" s="1">
        <v>5</v>
      </c>
      <c r="Q271" s="5">
        <f t="shared" si="28"/>
        <v>1</v>
      </c>
      <c r="R271" s="5">
        <f t="shared" si="29"/>
        <v>1</v>
      </c>
      <c r="S271" s="5">
        <f t="shared" si="30"/>
        <v>0</v>
      </c>
      <c r="T271" s="5">
        <f t="shared" si="31"/>
        <v>0</v>
      </c>
      <c r="U271" s="5">
        <f t="shared" si="32"/>
        <v>0</v>
      </c>
      <c r="V271" s="5" t="str">
        <f t="shared" si="33"/>
        <v>无</v>
      </c>
      <c r="W271" s="5">
        <f t="shared" si="34"/>
        <v>1</v>
      </c>
    </row>
    <row r="272" spans="1:23" ht="17.25" customHeight="1">
      <c r="A272" s="1" t="s">
        <v>338</v>
      </c>
      <c r="B272" s="1" t="s">
        <v>22</v>
      </c>
      <c r="C272" s="1" t="s">
        <v>25</v>
      </c>
      <c r="D272" s="1" t="s">
        <v>31</v>
      </c>
      <c r="E272" s="6">
        <v>46246.694444444445</v>
      </c>
      <c r="F272" s="6">
        <v>46246.78125</v>
      </c>
      <c r="G272" s="6">
        <v>46248.625</v>
      </c>
      <c r="H272" s="6">
        <v>46248.584722222222</v>
      </c>
      <c r="I272" s="6">
        <v>46248.833333333336</v>
      </c>
      <c r="J272" s="6">
        <v>46248.645138888889</v>
      </c>
      <c r="K272" s="1" t="s">
        <v>66</v>
      </c>
      <c r="L272" s="1" t="s">
        <v>34</v>
      </c>
      <c r="M272" s="6"/>
      <c r="N272" s="6"/>
      <c r="O272" s="1">
        <v>0</v>
      </c>
      <c r="P272" s="1">
        <v>4</v>
      </c>
      <c r="Q272" s="5">
        <f t="shared" si="28"/>
        <v>1</v>
      </c>
      <c r="R272" s="5">
        <f t="shared" si="29"/>
        <v>1</v>
      </c>
      <c r="S272" s="5">
        <f t="shared" si="30"/>
        <v>0</v>
      </c>
      <c r="T272" s="5">
        <f t="shared" si="31"/>
        <v>0</v>
      </c>
      <c r="U272" s="5">
        <f t="shared" si="32"/>
        <v>0</v>
      </c>
      <c r="V272" s="5" t="str">
        <f t="shared" si="33"/>
        <v>无</v>
      </c>
      <c r="W272" s="5">
        <f t="shared" si="34"/>
        <v>1</v>
      </c>
    </row>
    <row r="273" spans="1:23" ht="17.25" customHeight="1">
      <c r="A273" s="1" t="s">
        <v>339</v>
      </c>
      <c r="B273" s="1" t="s">
        <v>21</v>
      </c>
      <c r="C273" s="1" t="s">
        <v>24</v>
      </c>
      <c r="D273" s="1" t="s">
        <v>29</v>
      </c>
      <c r="E273" s="6">
        <v>46246.697916666664</v>
      </c>
      <c r="F273" s="6">
        <v>46246.740277777775</v>
      </c>
      <c r="G273" s="6">
        <v>46247.416666666664</v>
      </c>
      <c r="H273" s="6">
        <v>46247.37222222222</v>
      </c>
      <c r="I273" s="6">
        <v>46247.583333333336</v>
      </c>
      <c r="J273" s="6">
        <v>46247.445138888892</v>
      </c>
      <c r="K273" s="1" t="s">
        <v>66</v>
      </c>
      <c r="L273" s="1" t="s">
        <v>34</v>
      </c>
      <c r="M273" s="6"/>
      <c r="N273" s="6"/>
      <c r="O273" s="1">
        <v>0</v>
      </c>
      <c r="P273" s="1"/>
      <c r="Q273" s="5">
        <f t="shared" si="28"/>
        <v>1</v>
      </c>
      <c r="R273" s="5">
        <f t="shared" si="29"/>
        <v>1</v>
      </c>
      <c r="S273" s="5">
        <f t="shared" si="30"/>
        <v>0</v>
      </c>
      <c r="T273" s="5">
        <f t="shared" si="31"/>
        <v>0</v>
      </c>
      <c r="U273" s="5">
        <f t="shared" si="32"/>
        <v>0</v>
      </c>
      <c r="V273" s="5" t="str">
        <f t="shared" si="33"/>
        <v>无</v>
      </c>
      <c r="W273" s="5">
        <f t="shared" si="34"/>
        <v>1</v>
      </c>
    </row>
    <row r="274" spans="1:23" ht="17.25" customHeight="1">
      <c r="A274" s="1" t="s">
        <v>340</v>
      </c>
      <c r="B274" s="1" t="s">
        <v>21</v>
      </c>
      <c r="C274" s="1" t="s">
        <v>24</v>
      </c>
      <c r="D274" s="1" t="s">
        <v>29</v>
      </c>
      <c r="E274" s="6">
        <v>46246.736111111109</v>
      </c>
      <c r="F274" s="6">
        <v>46249.458333333336</v>
      </c>
      <c r="G274" s="6">
        <v>46249.416666666664</v>
      </c>
      <c r="H274" s="6">
        <v>46249.531944444447</v>
      </c>
      <c r="I274" s="6">
        <v>46249.583333333336</v>
      </c>
      <c r="J274" s="6">
        <v>46249.629166666666</v>
      </c>
      <c r="K274" s="1" t="s">
        <v>66</v>
      </c>
      <c r="L274" s="1" t="s">
        <v>35</v>
      </c>
      <c r="M274" s="6">
        <v>46249.416666666664</v>
      </c>
      <c r="N274" s="6"/>
      <c r="O274" s="1">
        <v>0</v>
      </c>
      <c r="P274" s="1">
        <v>4</v>
      </c>
      <c r="Q274" s="5">
        <f t="shared" si="28"/>
        <v>0</v>
      </c>
      <c r="R274" s="5">
        <f t="shared" si="29"/>
        <v>0</v>
      </c>
      <c r="S274" s="5">
        <f t="shared" si="30"/>
        <v>1</v>
      </c>
      <c r="T274" s="5">
        <f t="shared" si="31"/>
        <v>0</v>
      </c>
      <c r="U274" s="5">
        <f t="shared" si="32"/>
        <v>1</v>
      </c>
      <c r="V274" s="5" t="str">
        <f t="shared" si="33"/>
        <v>派单超时</v>
      </c>
      <c r="W274" s="5">
        <f t="shared" si="34"/>
        <v>1</v>
      </c>
    </row>
    <row r="275" spans="1:23" ht="17.25" customHeight="1">
      <c r="A275" s="1" t="s">
        <v>341</v>
      </c>
      <c r="B275" s="1" t="s">
        <v>20</v>
      </c>
      <c r="C275" s="1" t="s">
        <v>24</v>
      </c>
      <c r="D275" s="1" t="s">
        <v>28</v>
      </c>
      <c r="E275" s="6">
        <v>46246.760416666664</v>
      </c>
      <c r="F275" s="6">
        <v>46246.87777777778</v>
      </c>
      <c r="G275" s="6">
        <v>46248.625</v>
      </c>
      <c r="H275" s="6">
        <v>46248.591666666667</v>
      </c>
      <c r="I275" s="6">
        <v>46248.791666666664</v>
      </c>
      <c r="J275" s="6">
        <v>46248.642361111109</v>
      </c>
      <c r="K275" s="1" t="s">
        <v>66</v>
      </c>
      <c r="L275" s="1" t="s">
        <v>34</v>
      </c>
      <c r="M275" s="6"/>
      <c r="N275" s="6"/>
      <c r="O275" s="1">
        <v>0</v>
      </c>
      <c r="P275" s="1">
        <v>4</v>
      </c>
      <c r="Q275" s="5">
        <f t="shared" si="28"/>
        <v>1</v>
      </c>
      <c r="R275" s="5">
        <f t="shared" si="29"/>
        <v>1</v>
      </c>
      <c r="S275" s="5">
        <f t="shared" si="30"/>
        <v>0</v>
      </c>
      <c r="T275" s="5">
        <f t="shared" si="31"/>
        <v>0</v>
      </c>
      <c r="U275" s="5">
        <f t="shared" si="32"/>
        <v>0</v>
      </c>
      <c r="V275" s="5" t="str">
        <f t="shared" si="33"/>
        <v>无</v>
      </c>
      <c r="W275" s="5">
        <f t="shared" si="34"/>
        <v>1</v>
      </c>
    </row>
    <row r="276" spans="1:23" ht="17.25" customHeight="1">
      <c r="A276" s="1" t="s">
        <v>342</v>
      </c>
      <c r="B276" s="1" t="s">
        <v>21</v>
      </c>
      <c r="C276" s="1" t="s">
        <v>24</v>
      </c>
      <c r="D276" s="1" t="s">
        <v>29</v>
      </c>
      <c r="E276" s="6">
        <v>46246.788194444445</v>
      </c>
      <c r="F276" s="6">
        <v>46246.935416666667</v>
      </c>
      <c r="G276" s="6">
        <v>46249.708333333336</v>
      </c>
      <c r="H276" s="6">
        <v>46249.672222222223</v>
      </c>
      <c r="I276" s="6">
        <v>46249.875</v>
      </c>
      <c r="J276" s="6">
        <v>46249.730555555558</v>
      </c>
      <c r="K276" s="1" t="s">
        <v>66</v>
      </c>
      <c r="L276" s="1" t="s">
        <v>34</v>
      </c>
      <c r="M276" s="6"/>
      <c r="N276" s="6"/>
      <c r="O276" s="1">
        <v>0</v>
      </c>
      <c r="P276" s="1">
        <v>5</v>
      </c>
      <c r="Q276" s="5">
        <f t="shared" si="28"/>
        <v>1</v>
      </c>
      <c r="R276" s="5">
        <f t="shared" si="29"/>
        <v>1</v>
      </c>
      <c r="S276" s="5">
        <f t="shared" si="30"/>
        <v>0</v>
      </c>
      <c r="T276" s="5">
        <f t="shared" si="31"/>
        <v>0</v>
      </c>
      <c r="U276" s="5">
        <f t="shared" si="32"/>
        <v>0</v>
      </c>
      <c r="V276" s="5" t="str">
        <f t="shared" si="33"/>
        <v>无</v>
      </c>
      <c r="W276" s="5">
        <f t="shared" si="34"/>
        <v>1</v>
      </c>
    </row>
    <row r="277" spans="1:23" ht="17.25" customHeight="1">
      <c r="A277" s="1" t="s">
        <v>343</v>
      </c>
      <c r="B277" s="1" t="s">
        <v>21</v>
      </c>
      <c r="C277" s="1" t="s">
        <v>26</v>
      </c>
      <c r="D277" s="1" t="s">
        <v>29</v>
      </c>
      <c r="E277" s="6">
        <v>46246.788194444445</v>
      </c>
      <c r="F277" s="6">
        <v>46246.909722222219</v>
      </c>
      <c r="G277" s="6">
        <v>46248.708333333336</v>
      </c>
      <c r="H277" s="6">
        <v>46248.776388888888</v>
      </c>
      <c r="I277" s="6">
        <v>46248.833333333336</v>
      </c>
      <c r="J277" s="6">
        <v>46248.848611111112</v>
      </c>
      <c r="K277" s="1" t="s">
        <v>66</v>
      </c>
      <c r="L277" s="1" t="s">
        <v>36</v>
      </c>
      <c r="M277" s="6">
        <v>46248.708333333336</v>
      </c>
      <c r="N277" s="6"/>
      <c r="O277" s="1">
        <v>0</v>
      </c>
      <c r="P277" s="1"/>
      <c r="Q277" s="5">
        <f t="shared" si="28"/>
        <v>0</v>
      </c>
      <c r="R277" s="5">
        <f t="shared" si="29"/>
        <v>0</v>
      </c>
      <c r="S277" s="5">
        <f t="shared" si="30"/>
        <v>1</v>
      </c>
      <c r="T277" s="5">
        <f t="shared" si="31"/>
        <v>0</v>
      </c>
      <c r="U277" s="5">
        <f t="shared" si="32"/>
        <v>1</v>
      </c>
      <c r="V277" s="5" t="str">
        <f t="shared" si="33"/>
        <v>上门超时</v>
      </c>
      <c r="W277" s="5">
        <f t="shared" si="34"/>
        <v>1</v>
      </c>
    </row>
    <row r="278" spans="1:23" ht="17.25" customHeight="1">
      <c r="A278" s="1" t="s">
        <v>344</v>
      </c>
      <c r="B278" s="1" t="s">
        <v>21</v>
      </c>
      <c r="C278" s="1" t="s">
        <v>25</v>
      </c>
      <c r="D278" s="1" t="s">
        <v>29</v>
      </c>
      <c r="E278" s="6">
        <v>46247.340277777781</v>
      </c>
      <c r="F278" s="6">
        <v>46247.491666666669</v>
      </c>
      <c r="G278" s="6">
        <v>46248.5</v>
      </c>
      <c r="H278" s="6">
        <v>46248.45416666667</v>
      </c>
      <c r="I278" s="6">
        <v>46248.708333333336</v>
      </c>
      <c r="J278" s="6">
        <v>46248.740277777775</v>
      </c>
      <c r="K278" s="1" t="s">
        <v>66</v>
      </c>
      <c r="L278" s="1" t="s">
        <v>37</v>
      </c>
      <c r="M278" s="6">
        <v>46248.708333333336</v>
      </c>
      <c r="N278" s="6">
        <v>46248.935416666667</v>
      </c>
      <c r="O278" s="1">
        <v>0</v>
      </c>
      <c r="P278" s="1">
        <v>4</v>
      </c>
      <c r="Q278" s="5">
        <f t="shared" si="28"/>
        <v>1</v>
      </c>
      <c r="R278" s="5">
        <f t="shared" si="29"/>
        <v>0</v>
      </c>
      <c r="S278" s="5">
        <f t="shared" si="30"/>
        <v>1</v>
      </c>
      <c r="T278" s="5">
        <f t="shared" si="31"/>
        <v>1</v>
      </c>
      <c r="U278" s="5">
        <f t="shared" si="32"/>
        <v>0</v>
      </c>
      <c r="V278" s="5" t="str">
        <f t="shared" si="33"/>
        <v>完工超时</v>
      </c>
      <c r="W278" s="5">
        <f t="shared" si="34"/>
        <v>1</v>
      </c>
    </row>
    <row r="279" spans="1:23" ht="17.25" customHeight="1">
      <c r="A279" s="1" t="s">
        <v>345</v>
      </c>
      <c r="B279" s="1" t="s">
        <v>20</v>
      </c>
      <c r="C279" s="1" t="s">
        <v>24</v>
      </c>
      <c r="D279" s="1" t="s">
        <v>27</v>
      </c>
      <c r="E279" s="6">
        <v>46247.347222222219</v>
      </c>
      <c r="F279" s="6">
        <v>46247.374305555553</v>
      </c>
      <c r="G279" s="6">
        <v>46249.416666666664</v>
      </c>
      <c r="H279" s="6">
        <v>46249.366666666669</v>
      </c>
      <c r="I279" s="6">
        <v>46249.583333333336</v>
      </c>
      <c r="J279" s="6">
        <v>46249.439583333333</v>
      </c>
      <c r="K279" s="1" t="s">
        <v>66</v>
      </c>
      <c r="L279" s="1" t="s">
        <v>34</v>
      </c>
      <c r="M279" s="6"/>
      <c r="N279" s="6"/>
      <c r="O279" s="1">
        <v>0</v>
      </c>
      <c r="P279" s="1">
        <v>4</v>
      </c>
      <c r="Q279" s="5">
        <f t="shared" si="28"/>
        <v>1</v>
      </c>
      <c r="R279" s="5">
        <f t="shared" si="29"/>
        <v>1</v>
      </c>
      <c r="S279" s="5">
        <f t="shared" si="30"/>
        <v>0</v>
      </c>
      <c r="T279" s="5">
        <f t="shared" si="31"/>
        <v>0</v>
      </c>
      <c r="U279" s="5">
        <f t="shared" si="32"/>
        <v>0</v>
      </c>
      <c r="V279" s="5" t="str">
        <f t="shared" si="33"/>
        <v>无</v>
      </c>
      <c r="W279" s="5">
        <f t="shared" si="34"/>
        <v>1</v>
      </c>
    </row>
    <row r="280" spans="1:23" ht="17.25" customHeight="1">
      <c r="A280" s="1" t="s">
        <v>346</v>
      </c>
      <c r="B280" s="1" t="s">
        <v>21</v>
      </c>
      <c r="C280" s="1" t="s">
        <v>24</v>
      </c>
      <c r="D280" s="1" t="s">
        <v>29</v>
      </c>
      <c r="E280" s="6">
        <v>46247.347222222219</v>
      </c>
      <c r="F280" s="6">
        <v>46247.489583333336</v>
      </c>
      <c r="G280" s="6">
        <v>46248.5</v>
      </c>
      <c r="H280" s="6">
        <v>46248.451388888891</v>
      </c>
      <c r="I280" s="6">
        <v>46248.666666666664</v>
      </c>
      <c r="J280" s="6">
        <v>46248.490277777775</v>
      </c>
      <c r="K280" s="1" t="s">
        <v>66</v>
      </c>
      <c r="L280" s="1" t="s">
        <v>34</v>
      </c>
      <c r="M280" s="6"/>
      <c r="N280" s="6"/>
      <c r="O280" s="1">
        <v>0</v>
      </c>
      <c r="P280" s="1">
        <v>5</v>
      </c>
      <c r="Q280" s="5">
        <f t="shared" si="28"/>
        <v>1</v>
      </c>
      <c r="R280" s="5">
        <f t="shared" si="29"/>
        <v>1</v>
      </c>
      <c r="S280" s="5">
        <f t="shared" si="30"/>
        <v>0</v>
      </c>
      <c r="T280" s="5">
        <f t="shared" si="31"/>
        <v>0</v>
      </c>
      <c r="U280" s="5">
        <f t="shared" si="32"/>
        <v>0</v>
      </c>
      <c r="V280" s="5" t="str">
        <f t="shared" si="33"/>
        <v>无</v>
      </c>
      <c r="W280" s="5">
        <f t="shared" si="34"/>
        <v>1</v>
      </c>
    </row>
    <row r="281" spans="1:23" ht="17.25" customHeight="1">
      <c r="A281" s="1" t="s">
        <v>347</v>
      </c>
      <c r="B281" s="1" t="s">
        <v>22</v>
      </c>
      <c r="C281" s="1" t="s">
        <v>24</v>
      </c>
      <c r="D281" s="1" t="s">
        <v>32</v>
      </c>
      <c r="E281" s="6">
        <v>46247.357638888891</v>
      </c>
      <c r="F281" s="6">
        <v>46247.406944444447</v>
      </c>
      <c r="G281" s="6">
        <v>46250.625</v>
      </c>
      <c r="H281" s="6">
        <v>46250.609722222223</v>
      </c>
      <c r="I281" s="6">
        <v>46250.791666666664</v>
      </c>
      <c r="J281" s="6">
        <v>46250.711805555555</v>
      </c>
      <c r="K281" s="1" t="s">
        <v>66</v>
      </c>
      <c r="L281" s="1" t="s">
        <v>34</v>
      </c>
      <c r="M281" s="6"/>
      <c r="N281" s="6"/>
      <c r="O281" s="1">
        <v>0</v>
      </c>
      <c r="P281" s="1">
        <v>5</v>
      </c>
      <c r="Q281" s="5">
        <f t="shared" si="28"/>
        <v>1</v>
      </c>
      <c r="R281" s="5">
        <f t="shared" si="29"/>
        <v>1</v>
      </c>
      <c r="S281" s="5">
        <f t="shared" si="30"/>
        <v>0</v>
      </c>
      <c r="T281" s="5">
        <f t="shared" si="31"/>
        <v>0</v>
      </c>
      <c r="U281" s="5">
        <f t="shared" si="32"/>
        <v>0</v>
      </c>
      <c r="V281" s="5" t="str">
        <f t="shared" si="33"/>
        <v>无</v>
      </c>
      <c r="W281" s="5">
        <f t="shared" si="34"/>
        <v>1</v>
      </c>
    </row>
    <row r="282" spans="1:23" ht="17.25" customHeight="1">
      <c r="A282" s="1" t="s">
        <v>348</v>
      </c>
      <c r="B282" s="1" t="s">
        <v>21</v>
      </c>
      <c r="C282" s="1" t="s">
        <v>25</v>
      </c>
      <c r="D282" s="1" t="s">
        <v>29</v>
      </c>
      <c r="E282" s="6">
        <v>46247.385416666664</v>
      </c>
      <c r="F282" s="6">
        <v>46247.544444444444</v>
      </c>
      <c r="G282" s="6">
        <v>46249.708333333336</v>
      </c>
      <c r="H282" s="6">
        <v>46249.686805555553</v>
      </c>
      <c r="I282" s="6">
        <v>46249.916666666664</v>
      </c>
      <c r="J282" s="6">
        <v>46249.741666666669</v>
      </c>
      <c r="K282" s="1" t="s">
        <v>66</v>
      </c>
      <c r="L282" s="1" t="s">
        <v>34</v>
      </c>
      <c r="M282" s="6"/>
      <c r="N282" s="6"/>
      <c r="O282" s="1">
        <v>0</v>
      </c>
      <c r="P282" s="1">
        <v>4</v>
      </c>
      <c r="Q282" s="5">
        <f t="shared" si="28"/>
        <v>1</v>
      </c>
      <c r="R282" s="5">
        <f t="shared" si="29"/>
        <v>1</v>
      </c>
      <c r="S282" s="5">
        <f t="shared" si="30"/>
        <v>0</v>
      </c>
      <c r="T282" s="5">
        <f t="shared" si="31"/>
        <v>0</v>
      </c>
      <c r="U282" s="5">
        <f t="shared" si="32"/>
        <v>0</v>
      </c>
      <c r="V282" s="5" t="str">
        <f t="shared" si="33"/>
        <v>无</v>
      </c>
      <c r="W282" s="5">
        <f t="shared" si="34"/>
        <v>1</v>
      </c>
    </row>
    <row r="283" spans="1:23" ht="17.25" customHeight="1">
      <c r="A283" s="1" t="s">
        <v>349</v>
      </c>
      <c r="B283" s="1" t="s">
        <v>22</v>
      </c>
      <c r="C283" s="1" t="s">
        <v>26</v>
      </c>
      <c r="D283" s="1" t="s">
        <v>31</v>
      </c>
      <c r="E283" s="6">
        <v>46247.399305555555</v>
      </c>
      <c r="F283" s="6">
        <v>46247.500694444447</v>
      </c>
      <c r="G283" s="6">
        <v>46249.5</v>
      </c>
      <c r="H283" s="6">
        <v>46249.465277777781</v>
      </c>
      <c r="I283" s="6">
        <v>46249.625</v>
      </c>
      <c r="J283" s="6">
        <v>46249.513888888891</v>
      </c>
      <c r="K283" s="1" t="s">
        <v>66</v>
      </c>
      <c r="L283" s="1" t="s">
        <v>34</v>
      </c>
      <c r="M283" s="6"/>
      <c r="N283" s="6"/>
      <c r="O283" s="1">
        <v>0</v>
      </c>
      <c r="P283" s="1">
        <v>4</v>
      </c>
      <c r="Q283" s="5">
        <f t="shared" si="28"/>
        <v>1</v>
      </c>
      <c r="R283" s="5">
        <f t="shared" si="29"/>
        <v>1</v>
      </c>
      <c r="S283" s="5">
        <f t="shared" si="30"/>
        <v>0</v>
      </c>
      <c r="T283" s="5">
        <f t="shared" si="31"/>
        <v>0</v>
      </c>
      <c r="U283" s="5">
        <f t="shared" si="32"/>
        <v>0</v>
      </c>
      <c r="V283" s="5" t="str">
        <f t="shared" si="33"/>
        <v>无</v>
      </c>
      <c r="W283" s="5">
        <f t="shared" si="34"/>
        <v>1</v>
      </c>
    </row>
    <row r="284" spans="1:23" ht="17.25" customHeight="1">
      <c r="A284" s="1" t="s">
        <v>350</v>
      </c>
      <c r="B284" s="1" t="s">
        <v>22</v>
      </c>
      <c r="C284" s="1" t="s">
        <v>24</v>
      </c>
      <c r="D284" s="1" t="s">
        <v>31</v>
      </c>
      <c r="E284" s="6">
        <v>46247.434027777781</v>
      </c>
      <c r="F284" s="6">
        <v>46248.467361111114</v>
      </c>
      <c r="G284" s="6">
        <v>46248.416666666664</v>
      </c>
      <c r="H284" s="6">
        <v>46248.52847222222</v>
      </c>
      <c r="I284" s="6">
        <v>46248.583333333336</v>
      </c>
      <c r="J284" s="6">
        <v>46248.628472222219</v>
      </c>
      <c r="K284" s="1" t="s">
        <v>66</v>
      </c>
      <c r="L284" s="1" t="s">
        <v>35</v>
      </c>
      <c r="M284" s="6">
        <v>46248.416666666664</v>
      </c>
      <c r="N284" s="6"/>
      <c r="O284" s="1">
        <v>0</v>
      </c>
      <c r="P284" s="1"/>
      <c r="Q284" s="5">
        <f t="shared" si="28"/>
        <v>0</v>
      </c>
      <c r="R284" s="5">
        <f t="shared" si="29"/>
        <v>0</v>
      </c>
      <c r="S284" s="5">
        <f t="shared" si="30"/>
        <v>1</v>
      </c>
      <c r="T284" s="5">
        <f t="shared" si="31"/>
        <v>0</v>
      </c>
      <c r="U284" s="5">
        <f t="shared" si="32"/>
        <v>1</v>
      </c>
      <c r="V284" s="5" t="str">
        <f t="shared" si="33"/>
        <v>派单超时</v>
      </c>
      <c r="W284" s="5">
        <f t="shared" si="34"/>
        <v>1</v>
      </c>
    </row>
    <row r="285" spans="1:23" ht="17.25" customHeight="1">
      <c r="A285" s="1" t="s">
        <v>351</v>
      </c>
      <c r="B285" s="1" t="s">
        <v>21</v>
      </c>
      <c r="C285" s="1" t="s">
        <v>25</v>
      </c>
      <c r="D285" s="1" t="s">
        <v>30</v>
      </c>
      <c r="E285" s="6">
        <v>46247.4375</v>
      </c>
      <c r="F285" s="6">
        <v>46247.552083333336</v>
      </c>
      <c r="G285" s="6">
        <v>46249.416666666664</v>
      </c>
      <c r="H285" s="6">
        <v>46249.445833333331</v>
      </c>
      <c r="I285" s="6">
        <v>46249.625</v>
      </c>
      <c r="J285" s="6">
        <v>46249.499305555553</v>
      </c>
      <c r="K285" s="1" t="s">
        <v>66</v>
      </c>
      <c r="L285" s="1" t="s">
        <v>36</v>
      </c>
      <c r="M285" s="6">
        <v>46249.416666666664</v>
      </c>
      <c r="N285" s="6"/>
      <c r="O285" s="1">
        <v>0</v>
      </c>
      <c r="P285" s="1">
        <v>4</v>
      </c>
      <c r="Q285" s="5">
        <f t="shared" si="28"/>
        <v>0</v>
      </c>
      <c r="R285" s="5">
        <f t="shared" si="29"/>
        <v>1</v>
      </c>
      <c r="S285" s="5">
        <f t="shared" si="30"/>
        <v>1</v>
      </c>
      <c r="T285" s="5">
        <f t="shared" si="31"/>
        <v>0</v>
      </c>
      <c r="U285" s="5">
        <f t="shared" si="32"/>
        <v>1</v>
      </c>
      <c r="V285" s="5" t="str">
        <f t="shared" si="33"/>
        <v>上门超时</v>
      </c>
      <c r="W285" s="5">
        <f t="shared" si="34"/>
        <v>1</v>
      </c>
    </row>
    <row r="286" spans="1:23" ht="17.25" customHeight="1">
      <c r="A286" s="1" t="s">
        <v>352</v>
      </c>
      <c r="B286" s="1" t="s">
        <v>21</v>
      </c>
      <c r="C286" s="1" t="s">
        <v>24</v>
      </c>
      <c r="D286" s="1" t="s">
        <v>29</v>
      </c>
      <c r="E286" s="6">
        <v>46247.461805555555</v>
      </c>
      <c r="F286" s="6">
        <v>46247.509722222225</v>
      </c>
      <c r="G286" s="6">
        <v>46249.5</v>
      </c>
      <c r="H286" s="6">
        <v>46249.484722222223</v>
      </c>
      <c r="I286" s="6">
        <v>46249.666666666664</v>
      </c>
      <c r="J286" s="6">
        <v>46249.525694444441</v>
      </c>
      <c r="K286" s="1" t="s">
        <v>66</v>
      </c>
      <c r="L286" s="1" t="s">
        <v>34</v>
      </c>
      <c r="M286" s="6"/>
      <c r="N286" s="6"/>
      <c r="O286" s="1">
        <v>0</v>
      </c>
      <c r="P286" s="1"/>
      <c r="Q286" s="5">
        <f t="shared" si="28"/>
        <v>1</v>
      </c>
      <c r="R286" s="5">
        <f t="shared" si="29"/>
        <v>1</v>
      </c>
      <c r="S286" s="5">
        <f t="shared" si="30"/>
        <v>0</v>
      </c>
      <c r="T286" s="5">
        <f t="shared" si="31"/>
        <v>0</v>
      </c>
      <c r="U286" s="5">
        <f t="shared" si="32"/>
        <v>0</v>
      </c>
      <c r="V286" s="5" t="str">
        <f t="shared" si="33"/>
        <v>无</v>
      </c>
      <c r="W286" s="5">
        <f t="shared" si="34"/>
        <v>1</v>
      </c>
    </row>
    <row r="287" spans="1:23" ht="17.25" customHeight="1">
      <c r="A287" s="1" t="s">
        <v>353</v>
      </c>
      <c r="B287" s="1" t="s">
        <v>20</v>
      </c>
      <c r="C287" s="1" t="s">
        <v>24</v>
      </c>
      <c r="D287" s="1" t="s">
        <v>28</v>
      </c>
      <c r="E287" s="6">
        <v>46247.465277777781</v>
      </c>
      <c r="F287" s="6">
        <v>46247.5</v>
      </c>
      <c r="G287" s="6">
        <v>46248.416666666664</v>
      </c>
      <c r="H287" s="6">
        <v>46248.368055555555</v>
      </c>
      <c r="I287" s="6">
        <v>46248.583333333336</v>
      </c>
      <c r="J287" s="6">
        <v>46248.431250000001</v>
      </c>
      <c r="K287" s="1" t="s">
        <v>66</v>
      </c>
      <c r="L287" s="1" t="s">
        <v>34</v>
      </c>
      <c r="M287" s="6"/>
      <c r="N287" s="6"/>
      <c r="O287" s="1">
        <v>0</v>
      </c>
      <c r="P287" s="1">
        <v>5</v>
      </c>
      <c r="Q287" s="5">
        <f t="shared" si="28"/>
        <v>1</v>
      </c>
      <c r="R287" s="5">
        <f t="shared" si="29"/>
        <v>1</v>
      </c>
      <c r="S287" s="5">
        <f t="shared" si="30"/>
        <v>0</v>
      </c>
      <c r="T287" s="5">
        <f t="shared" si="31"/>
        <v>0</v>
      </c>
      <c r="U287" s="5">
        <f t="shared" si="32"/>
        <v>0</v>
      </c>
      <c r="V287" s="5" t="str">
        <f t="shared" si="33"/>
        <v>无</v>
      </c>
      <c r="W287" s="5">
        <f t="shared" si="34"/>
        <v>1</v>
      </c>
    </row>
    <row r="288" spans="1:23" ht="17.25" customHeight="1">
      <c r="A288" s="1" t="s">
        <v>354</v>
      </c>
      <c r="B288" s="1" t="s">
        <v>22</v>
      </c>
      <c r="C288" s="1" t="s">
        <v>24</v>
      </c>
      <c r="D288" s="1" t="s">
        <v>31</v>
      </c>
      <c r="E288" s="6">
        <v>46247.472222222219</v>
      </c>
      <c r="F288" s="6">
        <v>46247.617361111108</v>
      </c>
      <c r="G288" s="6">
        <v>46248.708333333336</v>
      </c>
      <c r="H288" s="6">
        <v>46248.682638888888</v>
      </c>
      <c r="I288" s="6">
        <v>46248.875</v>
      </c>
      <c r="J288" s="6">
        <v>46248.747916666667</v>
      </c>
      <c r="K288" s="1" t="s">
        <v>66</v>
      </c>
      <c r="L288" s="1" t="s">
        <v>34</v>
      </c>
      <c r="M288" s="6"/>
      <c r="N288" s="6"/>
      <c r="O288" s="1">
        <v>0</v>
      </c>
      <c r="P288" s="1">
        <v>5</v>
      </c>
      <c r="Q288" s="5">
        <f t="shared" si="28"/>
        <v>1</v>
      </c>
      <c r="R288" s="5">
        <f t="shared" si="29"/>
        <v>1</v>
      </c>
      <c r="S288" s="5">
        <f t="shared" si="30"/>
        <v>0</v>
      </c>
      <c r="T288" s="5">
        <f t="shared" si="31"/>
        <v>0</v>
      </c>
      <c r="U288" s="5">
        <f t="shared" si="32"/>
        <v>0</v>
      </c>
      <c r="V288" s="5" t="str">
        <f t="shared" si="33"/>
        <v>无</v>
      </c>
      <c r="W288" s="5">
        <f t="shared" si="34"/>
        <v>1</v>
      </c>
    </row>
    <row r="289" spans="1:23" ht="17.25" customHeight="1">
      <c r="A289" s="1" t="s">
        <v>355</v>
      </c>
      <c r="B289" s="1" t="s">
        <v>21</v>
      </c>
      <c r="C289" s="1" t="s">
        <v>24</v>
      </c>
      <c r="D289" s="1" t="s">
        <v>30</v>
      </c>
      <c r="E289" s="6">
        <v>46247.486111111109</v>
      </c>
      <c r="F289" s="6">
        <v>46247.56527777778</v>
      </c>
      <c r="G289" s="6">
        <v>46249.708333333336</v>
      </c>
      <c r="H289" s="6">
        <v>46249.665972222225</v>
      </c>
      <c r="I289" s="6">
        <v>46249.875</v>
      </c>
      <c r="J289" s="6">
        <v>46249.705555555556</v>
      </c>
      <c r="K289" s="1" t="s">
        <v>66</v>
      </c>
      <c r="L289" s="1" t="s">
        <v>34</v>
      </c>
      <c r="M289" s="6"/>
      <c r="N289" s="6"/>
      <c r="O289" s="1">
        <v>0</v>
      </c>
      <c r="P289" s="1">
        <v>5</v>
      </c>
      <c r="Q289" s="5">
        <f t="shared" si="28"/>
        <v>1</v>
      </c>
      <c r="R289" s="5">
        <f t="shared" si="29"/>
        <v>1</v>
      </c>
      <c r="S289" s="5">
        <f t="shared" si="30"/>
        <v>0</v>
      </c>
      <c r="T289" s="5">
        <f t="shared" si="31"/>
        <v>0</v>
      </c>
      <c r="U289" s="5">
        <f t="shared" si="32"/>
        <v>0</v>
      </c>
      <c r="V289" s="5" t="str">
        <f t="shared" si="33"/>
        <v>无</v>
      </c>
      <c r="W289" s="5">
        <f t="shared" si="34"/>
        <v>1</v>
      </c>
    </row>
    <row r="290" spans="1:23" ht="17.25" customHeight="1">
      <c r="A290" s="1" t="s">
        <v>356</v>
      </c>
      <c r="B290" s="1" t="s">
        <v>21</v>
      </c>
      <c r="C290" s="1" t="s">
        <v>24</v>
      </c>
      <c r="D290" s="1" t="s">
        <v>30</v>
      </c>
      <c r="E290" s="6">
        <v>46247.493055555555</v>
      </c>
      <c r="F290" s="6">
        <v>46247.564583333333</v>
      </c>
      <c r="G290" s="6">
        <v>46248.625</v>
      </c>
      <c r="H290" s="6">
        <v>46248.583333333336</v>
      </c>
      <c r="I290" s="6">
        <v>46248.791666666664</v>
      </c>
      <c r="J290" s="6">
        <v>46248.845833333333</v>
      </c>
      <c r="K290" s="1" t="s">
        <v>66</v>
      </c>
      <c r="L290" s="1" t="s">
        <v>37</v>
      </c>
      <c r="M290" s="6">
        <v>46248.791666666664</v>
      </c>
      <c r="N290" s="6">
        <v>46248.990972222222</v>
      </c>
      <c r="O290" s="1">
        <v>1</v>
      </c>
      <c r="P290" s="1"/>
      <c r="Q290" s="5">
        <f t="shared" si="28"/>
        <v>1</v>
      </c>
      <c r="R290" s="5">
        <f t="shared" si="29"/>
        <v>0</v>
      </c>
      <c r="S290" s="5">
        <f t="shared" si="30"/>
        <v>1</v>
      </c>
      <c r="T290" s="5">
        <f t="shared" si="31"/>
        <v>1</v>
      </c>
      <c r="U290" s="5">
        <f t="shared" si="32"/>
        <v>0</v>
      </c>
      <c r="V290" s="5" t="str">
        <f t="shared" si="33"/>
        <v>完工超时</v>
      </c>
      <c r="W290" s="5">
        <f t="shared" si="34"/>
        <v>1</v>
      </c>
    </row>
    <row r="291" spans="1:23" ht="17.25" customHeight="1">
      <c r="A291" s="1" t="s">
        <v>357</v>
      </c>
      <c r="B291" s="1" t="s">
        <v>20</v>
      </c>
      <c r="C291" s="1" t="s">
        <v>25</v>
      </c>
      <c r="D291" s="1" t="s">
        <v>27</v>
      </c>
      <c r="E291" s="6">
        <v>46247.5</v>
      </c>
      <c r="F291" s="6">
        <v>46247.648611111108</v>
      </c>
      <c r="G291" s="6">
        <v>46249.5</v>
      </c>
      <c r="H291" s="6"/>
      <c r="I291" s="6">
        <v>46249.708333333336</v>
      </c>
      <c r="J291" s="6"/>
      <c r="K291" s="1" t="s">
        <v>73</v>
      </c>
      <c r="L291" s="1" t="s">
        <v>36</v>
      </c>
      <c r="M291" s="6">
        <v>46249.5</v>
      </c>
      <c r="N291" s="6"/>
      <c r="O291" s="1">
        <v>0</v>
      </c>
      <c r="P291" s="1"/>
      <c r="Q291" s="5">
        <f t="shared" si="28"/>
        <v>0</v>
      </c>
      <c r="R291" s="5">
        <f t="shared" si="29"/>
        <v>0</v>
      </c>
      <c r="S291" s="5">
        <f t="shared" si="30"/>
        <v>1</v>
      </c>
      <c r="T291" s="5">
        <f t="shared" si="31"/>
        <v>0</v>
      </c>
      <c r="U291" s="5">
        <f t="shared" si="32"/>
        <v>1</v>
      </c>
      <c r="V291" s="5" t="str">
        <f t="shared" si="33"/>
        <v>上门超时</v>
      </c>
      <c r="W291" s="5">
        <f t="shared" si="34"/>
        <v>1</v>
      </c>
    </row>
    <row r="292" spans="1:23" ht="17.25" customHeight="1">
      <c r="A292" s="1" t="s">
        <v>358</v>
      </c>
      <c r="B292" s="1" t="s">
        <v>20</v>
      </c>
      <c r="C292" s="1" t="s">
        <v>24</v>
      </c>
      <c r="D292" s="1" t="s">
        <v>27</v>
      </c>
      <c r="E292" s="6">
        <v>46247.53125</v>
      </c>
      <c r="F292" s="6">
        <v>46247.663194444445</v>
      </c>
      <c r="G292" s="6">
        <v>46249.625</v>
      </c>
      <c r="H292" s="6">
        <v>46249.594444444447</v>
      </c>
      <c r="I292" s="6">
        <v>46249.791666666664</v>
      </c>
      <c r="J292" s="6">
        <v>46249.631944444445</v>
      </c>
      <c r="K292" s="1" t="s">
        <v>66</v>
      </c>
      <c r="L292" s="1" t="s">
        <v>34</v>
      </c>
      <c r="M292" s="6"/>
      <c r="N292" s="6"/>
      <c r="O292" s="1">
        <v>0</v>
      </c>
      <c r="P292" s="1">
        <v>4</v>
      </c>
      <c r="Q292" s="5">
        <f t="shared" si="28"/>
        <v>1</v>
      </c>
      <c r="R292" s="5">
        <f t="shared" si="29"/>
        <v>1</v>
      </c>
      <c r="S292" s="5">
        <f t="shared" si="30"/>
        <v>0</v>
      </c>
      <c r="T292" s="5">
        <f t="shared" si="31"/>
        <v>0</v>
      </c>
      <c r="U292" s="5">
        <f t="shared" si="32"/>
        <v>0</v>
      </c>
      <c r="V292" s="5" t="str">
        <f t="shared" si="33"/>
        <v>无</v>
      </c>
      <c r="W292" s="5">
        <f t="shared" si="34"/>
        <v>1</v>
      </c>
    </row>
    <row r="293" spans="1:23" ht="17.25" customHeight="1">
      <c r="A293" s="1" t="s">
        <v>359</v>
      </c>
      <c r="B293" s="1" t="s">
        <v>20</v>
      </c>
      <c r="C293" s="1" t="s">
        <v>25</v>
      </c>
      <c r="D293" s="1" t="s">
        <v>27</v>
      </c>
      <c r="E293" s="6">
        <v>46247.552083333336</v>
      </c>
      <c r="F293" s="6">
        <v>46247.574999999997</v>
      </c>
      <c r="G293" s="6">
        <v>46249.625</v>
      </c>
      <c r="H293" s="6">
        <v>46249.607638888891</v>
      </c>
      <c r="I293" s="6">
        <v>46249.833333333336</v>
      </c>
      <c r="J293" s="6">
        <v>46249.65</v>
      </c>
      <c r="K293" s="1" t="s">
        <v>66</v>
      </c>
      <c r="L293" s="1" t="s">
        <v>34</v>
      </c>
      <c r="M293" s="6"/>
      <c r="N293" s="6"/>
      <c r="O293" s="1">
        <v>0</v>
      </c>
      <c r="P293" s="1">
        <v>4</v>
      </c>
      <c r="Q293" s="5">
        <f t="shared" si="28"/>
        <v>1</v>
      </c>
      <c r="R293" s="5">
        <f t="shared" si="29"/>
        <v>1</v>
      </c>
      <c r="S293" s="5">
        <f t="shared" si="30"/>
        <v>0</v>
      </c>
      <c r="T293" s="5">
        <f t="shared" si="31"/>
        <v>0</v>
      </c>
      <c r="U293" s="5">
        <f t="shared" si="32"/>
        <v>0</v>
      </c>
      <c r="V293" s="5" t="str">
        <f t="shared" si="33"/>
        <v>无</v>
      </c>
      <c r="W293" s="5">
        <f t="shared" si="34"/>
        <v>1</v>
      </c>
    </row>
    <row r="294" spans="1:23" ht="17.25" customHeight="1">
      <c r="A294" s="1" t="s">
        <v>360</v>
      </c>
      <c r="B294" s="1" t="s">
        <v>20</v>
      </c>
      <c r="C294" s="1" t="s">
        <v>24</v>
      </c>
      <c r="D294" s="1" t="s">
        <v>28</v>
      </c>
      <c r="E294" s="6">
        <v>46247.572916666664</v>
      </c>
      <c r="F294" s="6">
        <v>46247.601388888892</v>
      </c>
      <c r="G294" s="6">
        <v>46249.416666666664</v>
      </c>
      <c r="H294" s="6">
        <v>46249.458333333336</v>
      </c>
      <c r="I294" s="6">
        <v>46249.583333333336</v>
      </c>
      <c r="J294" s="6">
        <v>46249.5625</v>
      </c>
      <c r="K294" s="1" t="s">
        <v>66</v>
      </c>
      <c r="L294" s="1" t="s">
        <v>36</v>
      </c>
      <c r="M294" s="6">
        <v>46249.416666666664</v>
      </c>
      <c r="N294" s="6">
        <v>46249.646527777775</v>
      </c>
      <c r="O294" s="1">
        <v>0</v>
      </c>
      <c r="P294" s="1">
        <v>4</v>
      </c>
      <c r="Q294" s="5">
        <f t="shared" si="28"/>
        <v>0</v>
      </c>
      <c r="R294" s="5">
        <f t="shared" si="29"/>
        <v>1</v>
      </c>
      <c r="S294" s="5">
        <f t="shared" si="30"/>
        <v>1</v>
      </c>
      <c r="T294" s="5">
        <f t="shared" si="31"/>
        <v>1</v>
      </c>
      <c r="U294" s="5">
        <f t="shared" si="32"/>
        <v>0</v>
      </c>
      <c r="V294" s="5" t="str">
        <f t="shared" si="33"/>
        <v>上门超时</v>
      </c>
      <c r="W294" s="5">
        <f t="shared" si="34"/>
        <v>1</v>
      </c>
    </row>
    <row r="295" spans="1:23" ht="17.25" customHeight="1">
      <c r="A295" s="1" t="s">
        <v>361</v>
      </c>
      <c r="B295" s="1" t="s">
        <v>20</v>
      </c>
      <c r="C295" s="1" t="s">
        <v>24</v>
      </c>
      <c r="D295" s="1" t="s">
        <v>27</v>
      </c>
      <c r="E295" s="6">
        <v>46247.614583333336</v>
      </c>
      <c r="F295" s="6">
        <v>46247.654166666667</v>
      </c>
      <c r="G295" s="6">
        <v>46250.625</v>
      </c>
      <c r="H295" s="6">
        <v>46250.57708333333</v>
      </c>
      <c r="I295" s="6">
        <v>46250.791666666664</v>
      </c>
      <c r="J295" s="6">
        <v>46250.67083333333</v>
      </c>
      <c r="K295" s="1" t="s">
        <v>66</v>
      </c>
      <c r="L295" s="1" t="s">
        <v>34</v>
      </c>
      <c r="M295" s="6"/>
      <c r="N295" s="6"/>
      <c r="O295" s="1">
        <v>0</v>
      </c>
      <c r="P295" s="1">
        <v>5</v>
      </c>
      <c r="Q295" s="5">
        <f t="shared" si="28"/>
        <v>1</v>
      </c>
      <c r="R295" s="5">
        <f t="shared" si="29"/>
        <v>1</v>
      </c>
      <c r="S295" s="5">
        <f t="shared" si="30"/>
        <v>0</v>
      </c>
      <c r="T295" s="5">
        <f t="shared" si="31"/>
        <v>0</v>
      </c>
      <c r="U295" s="5">
        <f t="shared" si="32"/>
        <v>0</v>
      </c>
      <c r="V295" s="5" t="str">
        <f t="shared" si="33"/>
        <v>无</v>
      </c>
      <c r="W295" s="5">
        <f t="shared" si="34"/>
        <v>1</v>
      </c>
    </row>
    <row r="296" spans="1:23" ht="17.25" customHeight="1">
      <c r="A296" s="1" t="s">
        <v>362</v>
      </c>
      <c r="B296" s="1" t="s">
        <v>20</v>
      </c>
      <c r="C296" s="1" t="s">
        <v>24</v>
      </c>
      <c r="D296" s="1" t="s">
        <v>27</v>
      </c>
      <c r="E296" s="6">
        <v>46247.645833333336</v>
      </c>
      <c r="F296" s="6">
        <v>46247.739583333336</v>
      </c>
      <c r="G296" s="6">
        <v>46249.625</v>
      </c>
      <c r="H296" s="6">
        <v>46249.589583333334</v>
      </c>
      <c r="I296" s="6">
        <v>46249.791666666664</v>
      </c>
      <c r="J296" s="6">
        <v>46249.651388888888</v>
      </c>
      <c r="K296" s="1" t="s">
        <v>66</v>
      </c>
      <c r="L296" s="1" t="s">
        <v>34</v>
      </c>
      <c r="M296" s="6"/>
      <c r="N296" s="6"/>
      <c r="O296" s="1">
        <v>0</v>
      </c>
      <c r="P296" s="1">
        <v>5</v>
      </c>
      <c r="Q296" s="5">
        <f t="shared" si="28"/>
        <v>1</v>
      </c>
      <c r="R296" s="5">
        <f t="shared" si="29"/>
        <v>1</v>
      </c>
      <c r="S296" s="5">
        <f t="shared" si="30"/>
        <v>0</v>
      </c>
      <c r="T296" s="5">
        <f t="shared" si="31"/>
        <v>0</v>
      </c>
      <c r="U296" s="5">
        <f t="shared" si="32"/>
        <v>0</v>
      </c>
      <c r="V296" s="5" t="str">
        <f t="shared" si="33"/>
        <v>无</v>
      </c>
      <c r="W296" s="5">
        <f t="shared" si="34"/>
        <v>1</v>
      </c>
    </row>
    <row r="297" spans="1:23" ht="17.25" customHeight="1">
      <c r="A297" s="1" t="s">
        <v>363</v>
      </c>
      <c r="B297" s="1" t="s">
        <v>20</v>
      </c>
      <c r="C297" s="1" t="s">
        <v>24</v>
      </c>
      <c r="D297" s="1" t="s">
        <v>28</v>
      </c>
      <c r="E297" s="6">
        <v>46247.659722222219</v>
      </c>
      <c r="F297" s="6">
        <v>46247.731944444444</v>
      </c>
      <c r="G297" s="6">
        <v>46248.625</v>
      </c>
      <c r="H297" s="6">
        <v>46248.60833333333</v>
      </c>
      <c r="I297" s="6">
        <v>46248.791666666664</v>
      </c>
      <c r="J297" s="6">
        <v>46248.677083333336</v>
      </c>
      <c r="K297" s="1" t="s">
        <v>66</v>
      </c>
      <c r="L297" s="1" t="s">
        <v>34</v>
      </c>
      <c r="M297" s="6"/>
      <c r="N297" s="6"/>
      <c r="O297" s="1">
        <v>0</v>
      </c>
      <c r="P297" s="1">
        <v>4</v>
      </c>
      <c r="Q297" s="5">
        <f t="shared" si="28"/>
        <v>1</v>
      </c>
      <c r="R297" s="5">
        <f t="shared" si="29"/>
        <v>1</v>
      </c>
      <c r="S297" s="5">
        <f t="shared" si="30"/>
        <v>0</v>
      </c>
      <c r="T297" s="5">
        <f t="shared" si="31"/>
        <v>0</v>
      </c>
      <c r="U297" s="5">
        <f t="shared" si="32"/>
        <v>0</v>
      </c>
      <c r="V297" s="5" t="str">
        <f t="shared" si="33"/>
        <v>无</v>
      </c>
      <c r="W297" s="5">
        <f t="shared" si="34"/>
        <v>1</v>
      </c>
    </row>
    <row r="298" spans="1:23" ht="17.25" customHeight="1">
      <c r="A298" s="1" t="s">
        <v>364</v>
      </c>
      <c r="B298" s="1" t="s">
        <v>21</v>
      </c>
      <c r="C298" s="1" t="s">
        <v>25</v>
      </c>
      <c r="D298" s="1" t="s">
        <v>30</v>
      </c>
      <c r="E298" s="6">
        <v>46247.663194444445</v>
      </c>
      <c r="F298" s="6">
        <v>46247.816666666666</v>
      </c>
      <c r="G298" s="6">
        <v>46248.625</v>
      </c>
      <c r="H298" s="6">
        <v>46248.649305555555</v>
      </c>
      <c r="I298" s="6">
        <v>46248.833333333336</v>
      </c>
      <c r="J298" s="6">
        <v>46248.734722222223</v>
      </c>
      <c r="K298" s="1" t="s">
        <v>66</v>
      </c>
      <c r="L298" s="1" t="s">
        <v>36</v>
      </c>
      <c r="M298" s="6">
        <v>46248.625</v>
      </c>
      <c r="N298" s="6">
        <v>46248.770833333336</v>
      </c>
      <c r="O298" s="1">
        <v>0</v>
      </c>
      <c r="P298" s="1">
        <v>3</v>
      </c>
      <c r="Q298" s="5">
        <f t="shared" si="28"/>
        <v>0</v>
      </c>
      <c r="R298" s="5">
        <f t="shared" si="29"/>
        <v>1</v>
      </c>
      <c r="S298" s="5">
        <f t="shared" si="30"/>
        <v>1</v>
      </c>
      <c r="T298" s="5">
        <f t="shared" si="31"/>
        <v>1</v>
      </c>
      <c r="U298" s="5">
        <f t="shared" si="32"/>
        <v>0</v>
      </c>
      <c r="V298" s="5" t="str">
        <f t="shared" si="33"/>
        <v>上门超时</v>
      </c>
      <c r="W298" s="5">
        <f t="shared" si="34"/>
        <v>1</v>
      </c>
    </row>
    <row r="299" spans="1:23" ht="17.25" customHeight="1">
      <c r="A299" s="1" t="s">
        <v>365</v>
      </c>
      <c r="B299" s="1" t="s">
        <v>21</v>
      </c>
      <c r="C299" s="1" t="s">
        <v>25</v>
      </c>
      <c r="D299" s="1" t="s">
        <v>30</v>
      </c>
      <c r="E299" s="6">
        <v>46247.673611111109</v>
      </c>
      <c r="F299" s="6">
        <v>46247.715277777781</v>
      </c>
      <c r="G299" s="6">
        <v>46248.708333333336</v>
      </c>
      <c r="H299" s="6">
        <v>46248.656944444447</v>
      </c>
      <c r="I299" s="6">
        <v>46248.916666666664</v>
      </c>
      <c r="J299" s="6">
        <v>46248.738888888889</v>
      </c>
      <c r="K299" s="1" t="s">
        <v>66</v>
      </c>
      <c r="L299" s="1" t="s">
        <v>34</v>
      </c>
      <c r="M299" s="6"/>
      <c r="N299" s="6"/>
      <c r="O299" s="1">
        <v>0</v>
      </c>
      <c r="P299" s="1">
        <v>4</v>
      </c>
      <c r="Q299" s="5">
        <f t="shared" si="28"/>
        <v>1</v>
      </c>
      <c r="R299" s="5">
        <f t="shared" si="29"/>
        <v>1</v>
      </c>
      <c r="S299" s="5">
        <f t="shared" si="30"/>
        <v>0</v>
      </c>
      <c r="T299" s="5">
        <f t="shared" si="31"/>
        <v>0</v>
      </c>
      <c r="U299" s="5">
        <f t="shared" si="32"/>
        <v>0</v>
      </c>
      <c r="V299" s="5" t="str">
        <f t="shared" si="33"/>
        <v>无</v>
      </c>
      <c r="W299" s="5">
        <f t="shared" si="34"/>
        <v>1</v>
      </c>
    </row>
    <row r="300" spans="1:23" ht="17.25" customHeight="1">
      <c r="A300" s="1" t="s">
        <v>366</v>
      </c>
      <c r="B300" s="1" t="s">
        <v>20</v>
      </c>
      <c r="C300" s="1" t="s">
        <v>25</v>
      </c>
      <c r="D300" s="1" t="s">
        <v>27</v>
      </c>
      <c r="E300" s="6">
        <v>46247.684027777781</v>
      </c>
      <c r="F300" s="6">
        <v>46247.728472222225</v>
      </c>
      <c r="G300" s="6">
        <v>46248.5</v>
      </c>
      <c r="H300" s="6">
        <v>46248.470833333333</v>
      </c>
      <c r="I300" s="6">
        <v>46248.708333333336</v>
      </c>
      <c r="J300" s="6">
        <v>46248.512499999997</v>
      </c>
      <c r="K300" s="1" t="s">
        <v>66</v>
      </c>
      <c r="L300" s="1" t="s">
        <v>34</v>
      </c>
      <c r="M300" s="6"/>
      <c r="N300" s="6"/>
      <c r="O300" s="1">
        <v>0</v>
      </c>
      <c r="P300" s="1">
        <v>5</v>
      </c>
      <c r="Q300" s="5">
        <f t="shared" si="28"/>
        <v>1</v>
      </c>
      <c r="R300" s="5">
        <f t="shared" si="29"/>
        <v>1</v>
      </c>
      <c r="S300" s="5">
        <f t="shared" si="30"/>
        <v>0</v>
      </c>
      <c r="T300" s="5">
        <f t="shared" si="31"/>
        <v>0</v>
      </c>
      <c r="U300" s="5">
        <f t="shared" si="32"/>
        <v>0</v>
      </c>
      <c r="V300" s="5" t="str">
        <f t="shared" si="33"/>
        <v>无</v>
      </c>
      <c r="W300" s="5">
        <f t="shared" si="34"/>
        <v>1</v>
      </c>
    </row>
    <row r="301" spans="1:23" ht="17.25" customHeight="1">
      <c r="A301" s="1" t="s">
        <v>367</v>
      </c>
      <c r="B301" s="1" t="s">
        <v>20</v>
      </c>
      <c r="C301" s="1" t="s">
        <v>24</v>
      </c>
      <c r="D301" s="1" t="s">
        <v>28</v>
      </c>
      <c r="E301" s="6">
        <v>46247.729166666664</v>
      </c>
      <c r="F301" s="6">
        <v>46247.866666666669</v>
      </c>
      <c r="G301" s="6">
        <v>46248.416666666664</v>
      </c>
      <c r="H301" s="6">
        <v>46248.38958333333</v>
      </c>
      <c r="I301" s="6">
        <v>46248.583333333336</v>
      </c>
      <c r="J301" s="6">
        <v>46248.424305555556</v>
      </c>
      <c r="K301" s="1" t="s">
        <v>66</v>
      </c>
      <c r="L301" s="1" t="s">
        <v>34</v>
      </c>
      <c r="M301" s="6"/>
      <c r="N301" s="6"/>
      <c r="O301" s="1">
        <v>0</v>
      </c>
      <c r="P301" s="1">
        <v>4</v>
      </c>
      <c r="Q301" s="5">
        <f t="shared" si="28"/>
        <v>1</v>
      </c>
      <c r="R301" s="5">
        <f t="shared" si="29"/>
        <v>1</v>
      </c>
      <c r="S301" s="5">
        <f t="shared" si="30"/>
        <v>0</v>
      </c>
      <c r="T301" s="5">
        <f t="shared" si="31"/>
        <v>0</v>
      </c>
      <c r="U301" s="5">
        <f t="shared" si="32"/>
        <v>0</v>
      </c>
      <c r="V301" s="5" t="str">
        <f t="shared" si="33"/>
        <v>无</v>
      </c>
      <c r="W301" s="5">
        <f t="shared" si="34"/>
        <v>1</v>
      </c>
    </row>
    <row r="302" spans="1:23" ht="17.25" customHeight="1">
      <c r="A302" s="1" t="s">
        <v>368</v>
      </c>
      <c r="B302" s="1" t="s">
        <v>22</v>
      </c>
      <c r="C302" s="1" t="s">
        <v>26</v>
      </c>
      <c r="D302" s="1" t="s">
        <v>31</v>
      </c>
      <c r="E302" s="6">
        <v>46248.357638888891</v>
      </c>
      <c r="F302" s="6">
        <v>46248.418749999997</v>
      </c>
      <c r="G302" s="6">
        <v>46250.416666666664</v>
      </c>
      <c r="H302" s="6">
        <v>46250.401388888888</v>
      </c>
      <c r="I302" s="6">
        <v>46250.541666666664</v>
      </c>
      <c r="J302" s="6">
        <v>46250.491666666669</v>
      </c>
      <c r="K302" s="1" t="s">
        <v>66</v>
      </c>
      <c r="L302" s="1" t="s">
        <v>34</v>
      </c>
      <c r="M302" s="6"/>
      <c r="N302" s="6"/>
      <c r="O302" s="1">
        <v>0</v>
      </c>
      <c r="P302" s="1">
        <v>5</v>
      </c>
      <c r="Q302" s="5">
        <f t="shared" si="28"/>
        <v>1</v>
      </c>
      <c r="R302" s="5">
        <f t="shared" si="29"/>
        <v>1</v>
      </c>
      <c r="S302" s="5">
        <f t="shared" si="30"/>
        <v>0</v>
      </c>
      <c r="T302" s="5">
        <f t="shared" si="31"/>
        <v>0</v>
      </c>
      <c r="U302" s="5">
        <f t="shared" si="32"/>
        <v>0</v>
      </c>
      <c r="V302" s="5" t="str">
        <f t="shared" si="33"/>
        <v>无</v>
      </c>
      <c r="W302" s="5">
        <f t="shared" si="34"/>
        <v>1</v>
      </c>
    </row>
    <row r="303" spans="1:23" ht="17.25" customHeight="1">
      <c r="A303" s="1" t="s">
        <v>369</v>
      </c>
      <c r="B303" s="1" t="s">
        <v>20</v>
      </c>
      <c r="C303" s="1" t="s">
        <v>24</v>
      </c>
      <c r="D303" s="1" t="s">
        <v>27</v>
      </c>
      <c r="E303" s="6">
        <v>46248.413194444445</v>
      </c>
      <c r="F303" s="6">
        <v>46248.470833333333</v>
      </c>
      <c r="G303" s="6">
        <v>46249.5</v>
      </c>
      <c r="H303" s="6"/>
      <c r="I303" s="6">
        <v>46249.666666666664</v>
      </c>
      <c r="J303" s="6"/>
      <c r="K303" s="1" t="s">
        <v>73</v>
      </c>
      <c r="L303" s="1" t="s">
        <v>36</v>
      </c>
      <c r="M303" s="6">
        <v>46249.5</v>
      </c>
      <c r="N303" s="6"/>
      <c r="O303" s="1">
        <v>1</v>
      </c>
      <c r="P303" s="1"/>
      <c r="Q303" s="5">
        <f t="shared" si="28"/>
        <v>0</v>
      </c>
      <c r="R303" s="5">
        <f t="shared" si="29"/>
        <v>0</v>
      </c>
      <c r="S303" s="5">
        <f t="shared" si="30"/>
        <v>1</v>
      </c>
      <c r="T303" s="5">
        <f t="shared" si="31"/>
        <v>0</v>
      </c>
      <c r="U303" s="5">
        <f t="shared" si="32"/>
        <v>1</v>
      </c>
      <c r="V303" s="5" t="str">
        <f t="shared" si="33"/>
        <v>上门超时</v>
      </c>
      <c r="W303" s="5">
        <f t="shared" si="34"/>
        <v>1</v>
      </c>
    </row>
    <row r="304" spans="1:23" ht="17.25" customHeight="1">
      <c r="A304" s="1" t="s">
        <v>370</v>
      </c>
      <c r="B304" s="1" t="s">
        <v>22</v>
      </c>
      <c r="C304" s="1" t="s">
        <v>24</v>
      </c>
      <c r="D304" s="1" t="s">
        <v>31</v>
      </c>
      <c r="E304" s="6">
        <v>46248.413194444445</v>
      </c>
      <c r="F304" s="6">
        <v>46248.495138888888</v>
      </c>
      <c r="G304" s="6">
        <v>46249.625</v>
      </c>
      <c r="H304" s="6">
        <v>46249.613194444442</v>
      </c>
      <c r="I304" s="6">
        <v>46249.791666666664</v>
      </c>
      <c r="J304" s="6"/>
      <c r="K304" s="1" t="s">
        <v>73</v>
      </c>
      <c r="L304" s="1" t="s">
        <v>37</v>
      </c>
      <c r="M304" s="6">
        <v>46249.791666666664</v>
      </c>
      <c r="N304" s="6"/>
      <c r="O304" s="1">
        <v>0</v>
      </c>
      <c r="P304" s="1"/>
      <c r="Q304" s="5">
        <f t="shared" si="28"/>
        <v>1</v>
      </c>
      <c r="R304" s="5">
        <f t="shared" si="29"/>
        <v>0</v>
      </c>
      <c r="S304" s="5">
        <f t="shared" si="30"/>
        <v>1</v>
      </c>
      <c r="T304" s="5">
        <f t="shared" si="31"/>
        <v>0</v>
      </c>
      <c r="U304" s="5">
        <f t="shared" si="32"/>
        <v>1</v>
      </c>
      <c r="V304" s="5" t="str">
        <f t="shared" si="33"/>
        <v>完工超时</v>
      </c>
      <c r="W304" s="5">
        <f t="shared" si="34"/>
        <v>1</v>
      </c>
    </row>
    <row r="305" spans="1:23" ht="17.25" customHeight="1">
      <c r="A305" s="1" t="s">
        <v>371</v>
      </c>
      <c r="B305" s="1" t="s">
        <v>22</v>
      </c>
      <c r="C305" s="1" t="s">
        <v>26</v>
      </c>
      <c r="D305" s="1" t="s">
        <v>31</v>
      </c>
      <c r="E305" s="6">
        <v>46248.434027777781</v>
      </c>
      <c r="F305" s="6">
        <v>46248.54791666667</v>
      </c>
      <c r="G305" s="6">
        <v>46249.5</v>
      </c>
      <c r="H305" s="6">
        <v>46249.482638888891</v>
      </c>
      <c r="I305" s="6">
        <v>46249.625</v>
      </c>
      <c r="J305" s="6">
        <v>46249.572222222225</v>
      </c>
      <c r="K305" s="1" t="s">
        <v>66</v>
      </c>
      <c r="L305" s="1" t="s">
        <v>34</v>
      </c>
      <c r="M305" s="6"/>
      <c r="N305" s="6"/>
      <c r="O305" s="1">
        <v>0</v>
      </c>
      <c r="P305" s="1">
        <v>5</v>
      </c>
      <c r="Q305" s="5">
        <f t="shared" si="28"/>
        <v>1</v>
      </c>
      <c r="R305" s="5">
        <f t="shared" si="29"/>
        <v>1</v>
      </c>
      <c r="S305" s="5">
        <f t="shared" si="30"/>
        <v>0</v>
      </c>
      <c r="T305" s="5">
        <f t="shared" si="31"/>
        <v>0</v>
      </c>
      <c r="U305" s="5">
        <f t="shared" si="32"/>
        <v>0</v>
      </c>
      <c r="V305" s="5" t="str">
        <f t="shared" si="33"/>
        <v>无</v>
      </c>
      <c r="W305" s="5">
        <f t="shared" si="34"/>
        <v>1</v>
      </c>
    </row>
    <row r="306" spans="1:23" ht="17.25" customHeight="1">
      <c r="A306" s="1" t="s">
        <v>372</v>
      </c>
      <c r="B306" s="1" t="s">
        <v>20</v>
      </c>
      <c r="C306" s="1" t="s">
        <v>24</v>
      </c>
      <c r="D306" s="1" t="s">
        <v>28</v>
      </c>
      <c r="E306" s="6">
        <v>46248.447916666664</v>
      </c>
      <c r="F306" s="6">
        <v>46248.52847222222</v>
      </c>
      <c r="G306" s="6">
        <v>46250.416666666664</v>
      </c>
      <c r="H306" s="6">
        <v>46250.406944444447</v>
      </c>
      <c r="I306" s="6">
        <v>46250.583333333336</v>
      </c>
      <c r="J306" s="6"/>
      <c r="K306" s="1" t="s">
        <v>73</v>
      </c>
      <c r="L306" s="1" t="s">
        <v>37</v>
      </c>
      <c r="M306" s="6">
        <v>46250.583333333336</v>
      </c>
      <c r="N306" s="6"/>
      <c r="O306" s="1">
        <v>0</v>
      </c>
      <c r="P306" s="1"/>
      <c r="Q306" s="5">
        <f t="shared" si="28"/>
        <v>1</v>
      </c>
      <c r="R306" s="5">
        <f t="shared" si="29"/>
        <v>0</v>
      </c>
      <c r="S306" s="5">
        <f t="shared" si="30"/>
        <v>1</v>
      </c>
      <c r="T306" s="5">
        <f t="shared" si="31"/>
        <v>0</v>
      </c>
      <c r="U306" s="5">
        <f t="shared" si="32"/>
        <v>1</v>
      </c>
      <c r="V306" s="5" t="str">
        <f t="shared" si="33"/>
        <v>完工超时</v>
      </c>
      <c r="W306" s="5">
        <f t="shared" si="34"/>
        <v>1</v>
      </c>
    </row>
    <row r="307" spans="1:23" ht="17.25" customHeight="1">
      <c r="A307" s="1" t="s">
        <v>373</v>
      </c>
      <c r="B307" s="1" t="s">
        <v>20</v>
      </c>
      <c r="C307" s="1" t="s">
        <v>25</v>
      </c>
      <c r="D307" s="1" t="s">
        <v>27</v>
      </c>
      <c r="E307" s="6">
        <v>46248.510416666664</v>
      </c>
      <c r="F307" s="6">
        <v>46248.533333333333</v>
      </c>
      <c r="G307" s="6">
        <v>46249.5</v>
      </c>
      <c r="H307" s="6">
        <v>46249.452777777777</v>
      </c>
      <c r="I307" s="6">
        <v>46249.708333333336</v>
      </c>
      <c r="J307" s="6">
        <v>46249.511111111111</v>
      </c>
      <c r="K307" s="1" t="s">
        <v>66</v>
      </c>
      <c r="L307" s="1" t="s">
        <v>34</v>
      </c>
      <c r="M307" s="6"/>
      <c r="N307" s="6"/>
      <c r="O307" s="1">
        <v>0</v>
      </c>
      <c r="P307" s="1">
        <v>5</v>
      </c>
      <c r="Q307" s="5">
        <f t="shared" si="28"/>
        <v>1</v>
      </c>
      <c r="R307" s="5">
        <f t="shared" si="29"/>
        <v>1</v>
      </c>
      <c r="S307" s="5">
        <f t="shared" si="30"/>
        <v>0</v>
      </c>
      <c r="T307" s="5">
        <f t="shared" si="31"/>
        <v>0</v>
      </c>
      <c r="U307" s="5">
        <f t="shared" si="32"/>
        <v>0</v>
      </c>
      <c r="V307" s="5" t="str">
        <f t="shared" si="33"/>
        <v>无</v>
      </c>
      <c r="W307" s="5">
        <f t="shared" si="34"/>
        <v>1</v>
      </c>
    </row>
    <row r="308" spans="1:23" ht="17.25" customHeight="1">
      <c r="A308" s="1" t="s">
        <v>374</v>
      </c>
      <c r="B308" s="1" t="s">
        <v>22</v>
      </c>
      <c r="C308" s="1" t="s">
        <v>26</v>
      </c>
      <c r="D308" s="1" t="s">
        <v>32</v>
      </c>
      <c r="E308" s="6">
        <v>46248.552083333336</v>
      </c>
      <c r="F308" s="6"/>
      <c r="G308" s="6">
        <v>46249.708333333336</v>
      </c>
      <c r="H308" s="6"/>
      <c r="I308" s="6">
        <v>46249.833333333336</v>
      </c>
      <c r="J308" s="6"/>
      <c r="K308" s="1" t="s">
        <v>73</v>
      </c>
      <c r="L308" s="1" t="s">
        <v>35</v>
      </c>
      <c r="M308" s="6">
        <v>46249.708333333336</v>
      </c>
      <c r="N308" s="6"/>
      <c r="O308" s="1">
        <v>0</v>
      </c>
      <c r="P308" s="1"/>
      <c r="Q308" s="5">
        <f t="shared" si="28"/>
        <v>0</v>
      </c>
      <c r="R308" s="5">
        <f t="shared" si="29"/>
        <v>0</v>
      </c>
      <c r="S308" s="5">
        <f t="shared" si="30"/>
        <v>1</v>
      </c>
      <c r="T308" s="5">
        <f t="shared" si="31"/>
        <v>0</v>
      </c>
      <c r="U308" s="5">
        <f t="shared" si="32"/>
        <v>1</v>
      </c>
      <c r="V308" s="5" t="str">
        <f t="shared" si="33"/>
        <v>派单超时</v>
      </c>
      <c r="W308" s="5">
        <f t="shared" si="34"/>
        <v>1</v>
      </c>
    </row>
    <row r="309" spans="1:23" ht="17.25" customHeight="1">
      <c r="A309" s="1" t="s">
        <v>375</v>
      </c>
      <c r="B309" s="1" t="s">
        <v>20</v>
      </c>
      <c r="C309" s="1" t="s">
        <v>25</v>
      </c>
      <c r="D309" s="1" t="s">
        <v>27</v>
      </c>
      <c r="E309" s="6">
        <v>46248.611111111109</v>
      </c>
      <c r="F309" s="6">
        <v>46248.777777777781</v>
      </c>
      <c r="G309" s="6">
        <v>46249.416666666664</v>
      </c>
      <c r="H309" s="6">
        <v>46249.370833333334</v>
      </c>
      <c r="I309" s="6">
        <v>46249.625</v>
      </c>
      <c r="J309" s="6">
        <v>46249.445138888892</v>
      </c>
      <c r="K309" s="1" t="s">
        <v>66</v>
      </c>
      <c r="L309" s="1" t="s">
        <v>34</v>
      </c>
      <c r="M309" s="6"/>
      <c r="N309" s="6"/>
      <c r="O309" s="1">
        <v>0</v>
      </c>
      <c r="P309" s="1">
        <v>5</v>
      </c>
      <c r="Q309" s="5">
        <f t="shared" si="28"/>
        <v>1</v>
      </c>
      <c r="R309" s="5">
        <f t="shared" si="29"/>
        <v>1</v>
      </c>
      <c r="S309" s="5">
        <f t="shared" si="30"/>
        <v>0</v>
      </c>
      <c r="T309" s="5">
        <f t="shared" si="31"/>
        <v>0</v>
      </c>
      <c r="U309" s="5">
        <f t="shared" si="32"/>
        <v>0</v>
      </c>
      <c r="V309" s="5" t="str">
        <f t="shared" si="33"/>
        <v>无</v>
      </c>
      <c r="W309" s="5">
        <f t="shared" si="34"/>
        <v>1</v>
      </c>
    </row>
    <row r="310" spans="1:23" ht="17.25" customHeight="1">
      <c r="A310" s="1" t="s">
        <v>376</v>
      </c>
      <c r="B310" s="1" t="s">
        <v>20</v>
      </c>
      <c r="C310" s="1" t="s">
        <v>25</v>
      </c>
      <c r="D310" s="1" t="s">
        <v>28</v>
      </c>
      <c r="E310" s="6">
        <v>46248.631944444445</v>
      </c>
      <c r="F310" s="6">
        <v>46248.76458333333</v>
      </c>
      <c r="G310" s="6">
        <v>46249.416666666664</v>
      </c>
      <c r="H310" s="6">
        <v>46249.396527777775</v>
      </c>
      <c r="I310" s="6">
        <v>46249.625</v>
      </c>
      <c r="J310" s="6">
        <v>46249.5</v>
      </c>
      <c r="K310" s="1" t="s">
        <v>66</v>
      </c>
      <c r="L310" s="1" t="s">
        <v>34</v>
      </c>
      <c r="M310" s="6"/>
      <c r="N310" s="6"/>
      <c r="O310" s="1">
        <v>0</v>
      </c>
      <c r="P310" s="1">
        <v>5</v>
      </c>
      <c r="Q310" s="5">
        <f t="shared" si="28"/>
        <v>1</v>
      </c>
      <c r="R310" s="5">
        <f t="shared" si="29"/>
        <v>1</v>
      </c>
      <c r="S310" s="5">
        <f t="shared" si="30"/>
        <v>0</v>
      </c>
      <c r="T310" s="5">
        <f t="shared" si="31"/>
        <v>0</v>
      </c>
      <c r="U310" s="5">
        <f t="shared" si="32"/>
        <v>0</v>
      </c>
      <c r="V310" s="5" t="str">
        <f t="shared" si="33"/>
        <v>无</v>
      </c>
      <c r="W310" s="5">
        <f t="shared" si="34"/>
        <v>1</v>
      </c>
    </row>
    <row r="311" spans="1:23" ht="17.25" customHeight="1">
      <c r="A311" s="1" t="s">
        <v>377</v>
      </c>
      <c r="B311" s="1" t="s">
        <v>22</v>
      </c>
      <c r="C311" s="1" t="s">
        <v>24</v>
      </c>
      <c r="D311" s="1" t="s">
        <v>31</v>
      </c>
      <c r="E311" s="6">
        <v>46248.673611111109</v>
      </c>
      <c r="F311" s="6">
        <v>46248.818749999999</v>
      </c>
      <c r="G311" s="6">
        <v>46249.625</v>
      </c>
      <c r="H311" s="6">
        <v>46249.597916666666</v>
      </c>
      <c r="I311" s="6">
        <v>46249.791666666664</v>
      </c>
      <c r="J311" s="6">
        <v>46249.633333333331</v>
      </c>
      <c r="K311" s="1" t="s">
        <v>66</v>
      </c>
      <c r="L311" s="1" t="s">
        <v>34</v>
      </c>
      <c r="M311" s="6"/>
      <c r="N311" s="6"/>
      <c r="O311" s="1">
        <v>0</v>
      </c>
      <c r="P311" s="1">
        <v>5</v>
      </c>
      <c r="Q311" s="5">
        <f t="shared" si="28"/>
        <v>1</v>
      </c>
      <c r="R311" s="5">
        <f t="shared" si="29"/>
        <v>1</v>
      </c>
      <c r="S311" s="5">
        <f t="shared" si="30"/>
        <v>0</v>
      </c>
      <c r="T311" s="5">
        <f t="shared" si="31"/>
        <v>0</v>
      </c>
      <c r="U311" s="5">
        <f t="shared" si="32"/>
        <v>0</v>
      </c>
      <c r="V311" s="5" t="str">
        <f t="shared" si="33"/>
        <v>无</v>
      </c>
      <c r="W311" s="5">
        <f t="shared" si="34"/>
        <v>1</v>
      </c>
    </row>
    <row r="312" spans="1:23" ht="17.25" customHeight="1">
      <c r="A312" s="1" t="s">
        <v>378</v>
      </c>
      <c r="B312" s="1" t="s">
        <v>21</v>
      </c>
      <c r="C312" s="1" t="s">
        <v>25</v>
      </c>
      <c r="D312" s="1" t="s">
        <v>30</v>
      </c>
      <c r="E312" s="6">
        <v>46248.725694444445</v>
      </c>
      <c r="F312" s="6">
        <v>46248.864583333336</v>
      </c>
      <c r="G312" s="6">
        <v>46249.625</v>
      </c>
      <c r="H312" s="6">
        <v>46249.578472222223</v>
      </c>
      <c r="I312" s="6">
        <v>46249.833333333336</v>
      </c>
      <c r="J312" s="6">
        <v>46249.663888888892</v>
      </c>
      <c r="K312" s="1" t="s">
        <v>66</v>
      </c>
      <c r="L312" s="1" t="s">
        <v>34</v>
      </c>
      <c r="M312" s="6"/>
      <c r="N312" s="6"/>
      <c r="O312" s="1">
        <v>0</v>
      </c>
      <c r="P312" s="1">
        <v>4</v>
      </c>
      <c r="Q312" s="5">
        <f t="shared" si="28"/>
        <v>1</v>
      </c>
      <c r="R312" s="5">
        <f t="shared" si="29"/>
        <v>1</v>
      </c>
      <c r="S312" s="5">
        <f t="shared" si="30"/>
        <v>0</v>
      </c>
      <c r="T312" s="5">
        <f t="shared" si="31"/>
        <v>0</v>
      </c>
      <c r="U312" s="5">
        <f t="shared" si="32"/>
        <v>0</v>
      </c>
      <c r="V312" s="5" t="str">
        <f t="shared" si="33"/>
        <v>无</v>
      </c>
      <c r="W312" s="5">
        <f t="shared" si="34"/>
        <v>1</v>
      </c>
    </row>
    <row r="313" spans="1:23" ht="17.25" customHeight="1">
      <c r="A313" s="1" t="s">
        <v>379</v>
      </c>
      <c r="B313" s="1" t="s">
        <v>20</v>
      </c>
      <c r="C313" s="1" t="s">
        <v>26</v>
      </c>
      <c r="D313" s="1" t="s">
        <v>27</v>
      </c>
      <c r="E313" s="6">
        <v>46248.75</v>
      </c>
      <c r="F313" s="6">
        <v>46248.852777777778</v>
      </c>
      <c r="G313" s="6">
        <v>46250.625</v>
      </c>
      <c r="H313" s="6">
        <v>46250.606944444444</v>
      </c>
      <c r="I313" s="6">
        <v>46250.75</v>
      </c>
      <c r="J313" s="6">
        <v>46250.7</v>
      </c>
      <c r="K313" s="1" t="s">
        <v>66</v>
      </c>
      <c r="L313" s="1" t="s">
        <v>34</v>
      </c>
      <c r="M313" s="6"/>
      <c r="N313" s="6"/>
      <c r="O313" s="1">
        <v>1</v>
      </c>
      <c r="P313" s="1">
        <v>3</v>
      </c>
      <c r="Q313" s="5">
        <f t="shared" si="28"/>
        <v>1</v>
      </c>
      <c r="R313" s="5">
        <f t="shared" si="29"/>
        <v>1</v>
      </c>
      <c r="S313" s="5">
        <f t="shared" si="30"/>
        <v>0</v>
      </c>
      <c r="T313" s="5">
        <f t="shared" si="31"/>
        <v>0</v>
      </c>
      <c r="U313" s="5">
        <f t="shared" si="32"/>
        <v>0</v>
      </c>
      <c r="V313" s="5" t="str">
        <f t="shared" si="33"/>
        <v>无</v>
      </c>
      <c r="W313" s="5">
        <f t="shared" si="34"/>
        <v>1</v>
      </c>
    </row>
    <row r="314" spans="1:23" ht="17.25" customHeight="1">
      <c r="A314" s="1" t="s">
        <v>380</v>
      </c>
      <c r="B314" s="1" t="s">
        <v>20</v>
      </c>
      <c r="C314" s="1" t="s">
        <v>25</v>
      </c>
      <c r="D314" s="1" t="s">
        <v>28</v>
      </c>
      <c r="E314" s="6">
        <v>46248.784722222219</v>
      </c>
      <c r="F314" s="6">
        <v>46248.829861111109</v>
      </c>
      <c r="G314" s="6">
        <v>46249.708333333336</v>
      </c>
      <c r="H314" s="6">
        <v>46249.67291666667</v>
      </c>
      <c r="I314" s="6">
        <v>46249.916666666664</v>
      </c>
      <c r="J314" s="6">
        <v>46249.743750000001</v>
      </c>
      <c r="K314" s="1" t="s">
        <v>66</v>
      </c>
      <c r="L314" s="1" t="s">
        <v>34</v>
      </c>
      <c r="M314" s="6"/>
      <c r="N314" s="6"/>
      <c r="O314" s="1">
        <v>0</v>
      </c>
      <c r="P314" s="1">
        <v>4</v>
      </c>
      <c r="Q314" s="5">
        <f t="shared" si="28"/>
        <v>1</v>
      </c>
      <c r="R314" s="5">
        <f t="shared" si="29"/>
        <v>1</v>
      </c>
      <c r="S314" s="5">
        <f t="shared" si="30"/>
        <v>0</v>
      </c>
      <c r="T314" s="5">
        <f t="shared" si="31"/>
        <v>0</v>
      </c>
      <c r="U314" s="5">
        <f t="shared" si="32"/>
        <v>0</v>
      </c>
      <c r="V314" s="5" t="str">
        <f t="shared" si="33"/>
        <v>无</v>
      </c>
      <c r="W314" s="5">
        <f t="shared" si="34"/>
        <v>1</v>
      </c>
    </row>
    <row r="315" spans="1:23" ht="17.25" customHeight="1">
      <c r="A315" s="1" t="s">
        <v>381</v>
      </c>
      <c r="B315" s="1" t="s">
        <v>21</v>
      </c>
      <c r="C315" s="1" t="s">
        <v>24</v>
      </c>
      <c r="D315" s="1" t="s">
        <v>29</v>
      </c>
      <c r="E315" s="6">
        <v>46248.788194444445</v>
      </c>
      <c r="F315" s="6">
        <v>46248.899305555555</v>
      </c>
      <c r="G315" s="6">
        <v>46251.708333333336</v>
      </c>
      <c r="H315" s="6">
        <v>46251.674305555556</v>
      </c>
      <c r="I315" s="6">
        <v>46251.875</v>
      </c>
      <c r="J315" s="6">
        <v>46251.740972222222</v>
      </c>
      <c r="K315" s="1" t="s">
        <v>66</v>
      </c>
      <c r="L315" s="1" t="s">
        <v>34</v>
      </c>
      <c r="M315" s="6"/>
      <c r="N315" s="6"/>
      <c r="O315" s="1">
        <v>0</v>
      </c>
      <c r="P315" s="1">
        <v>4</v>
      </c>
      <c r="Q315" s="5">
        <f t="shared" si="28"/>
        <v>1</v>
      </c>
      <c r="R315" s="5">
        <f t="shared" si="29"/>
        <v>1</v>
      </c>
      <c r="S315" s="5">
        <f t="shared" si="30"/>
        <v>0</v>
      </c>
      <c r="T315" s="5">
        <f t="shared" si="31"/>
        <v>0</v>
      </c>
      <c r="U315" s="5">
        <f t="shared" si="32"/>
        <v>0</v>
      </c>
      <c r="V315" s="5" t="str">
        <f t="shared" si="33"/>
        <v>无</v>
      </c>
      <c r="W315" s="5">
        <f t="shared" si="34"/>
        <v>1</v>
      </c>
    </row>
    <row r="316" spans="1:23" ht="17.25" customHeight="1">
      <c r="A316" s="1" t="s">
        <v>382</v>
      </c>
      <c r="B316" s="1" t="s">
        <v>22</v>
      </c>
      <c r="C316" s="1" t="s">
        <v>24</v>
      </c>
      <c r="D316" s="1" t="s">
        <v>31</v>
      </c>
      <c r="E316" s="6">
        <v>46249.34375</v>
      </c>
      <c r="F316" s="6">
        <v>46249.42291666667</v>
      </c>
      <c r="G316" s="6">
        <v>46252.5</v>
      </c>
      <c r="H316" s="6">
        <v>46252.475694444445</v>
      </c>
      <c r="I316" s="6">
        <v>46252.666666666664</v>
      </c>
      <c r="J316" s="6">
        <v>46252.693055555559</v>
      </c>
      <c r="K316" s="1" t="s">
        <v>66</v>
      </c>
      <c r="L316" s="1" t="s">
        <v>37</v>
      </c>
      <c r="M316" s="6">
        <v>46252.666666666664</v>
      </c>
      <c r="N316" s="6">
        <v>46252.804861111108</v>
      </c>
      <c r="O316" s="1">
        <v>0</v>
      </c>
      <c r="P316" s="1">
        <v>4</v>
      </c>
      <c r="Q316" s="5">
        <f t="shared" si="28"/>
        <v>1</v>
      </c>
      <c r="R316" s="5">
        <f t="shared" si="29"/>
        <v>0</v>
      </c>
      <c r="S316" s="5">
        <f t="shared" si="30"/>
        <v>1</v>
      </c>
      <c r="T316" s="5">
        <f t="shared" si="31"/>
        <v>1</v>
      </c>
      <c r="U316" s="5">
        <f t="shared" si="32"/>
        <v>0</v>
      </c>
      <c r="V316" s="5" t="str">
        <f t="shared" si="33"/>
        <v>完工超时</v>
      </c>
      <c r="W316" s="5">
        <f t="shared" si="34"/>
        <v>1</v>
      </c>
    </row>
    <row r="317" spans="1:23" ht="17.25" customHeight="1">
      <c r="A317" s="1" t="s">
        <v>383</v>
      </c>
      <c r="B317" s="1" t="s">
        <v>20</v>
      </c>
      <c r="C317" s="1" t="s">
        <v>26</v>
      </c>
      <c r="D317" s="1" t="s">
        <v>28</v>
      </c>
      <c r="E317" s="6">
        <v>46249.423611111109</v>
      </c>
      <c r="F317" s="6">
        <v>46249.470833333333</v>
      </c>
      <c r="G317" s="6">
        <v>46252.708333333336</v>
      </c>
      <c r="H317" s="6">
        <v>46252.663194444445</v>
      </c>
      <c r="I317" s="6">
        <v>46252.833333333336</v>
      </c>
      <c r="J317" s="6">
        <v>46252.73333333333</v>
      </c>
      <c r="K317" s="1" t="s">
        <v>66</v>
      </c>
      <c r="L317" s="1" t="s">
        <v>34</v>
      </c>
      <c r="M317" s="6"/>
      <c r="N317" s="6"/>
      <c r="O317" s="1">
        <v>0</v>
      </c>
      <c r="P317" s="1"/>
      <c r="Q317" s="5">
        <f t="shared" si="28"/>
        <v>1</v>
      </c>
      <c r="R317" s="5">
        <f t="shared" si="29"/>
        <v>1</v>
      </c>
      <c r="S317" s="5">
        <f t="shared" si="30"/>
        <v>0</v>
      </c>
      <c r="T317" s="5">
        <f t="shared" si="31"/>
        <v>0</v>
      </c>
      <c r="U317" s="5">
        <f t="shared" si="32"/>
        <v>0</v>
      </c>
      <c r="V317" s="5" t="str">
        <f t="shared" si="33"/>
        <v>无</v>
      </c>
      <c r="W317" s="5">
        <f t="shared" si="34"/>
        <v>1</v>
      </c>
    </row>
    <row r="318" spans="1:23" ht="17.25" customHeight="1">
      <c r="A318" s="1" t="s">
        <v>384</v>
      </c>
      <c r="B318" s="1" t="s">
        <v>22</v>
      </c>
      <c r="C318" s="1" t="s">
        <v>25</v>
      </c>
      <c r="D318" s="1" t="s">
        <v>32</v>
      </c>
      <c r="E318" s="6">
        <v>46249.423611111109</v>
      </c>
      <c r="F318" s="6">
        <v>46249.575694444444</v>
      </c>
      <c r="G318" s="6">
        <v>46250.5</v>
      </c>
      <c r="H318" s="6">
        <v>46250.480555555558</v>
      </c>
      <c r="I318" s="6">
        <v>46250.708333333336</v>
      </c>
      <c r="J318" s="6">
        <v>46250.517361111109</v>
      </c>
      <c r="K318" s="1" t="s">
        <v>66</v>
      </c>
      <c r="L318" s="1" t="s">
        <v>34</v>
      </c>
      <c r="M318" s="6"/>
      <c r="N318" s="6"/>
      <c r="O318" s="1">
        <v>0</v>
      </c>
      <c r="P318" s="1">
        <v>5</v>
      </c>
      <c r="Q318" s="5">
        <f t="shared" si="28"/>
        <v>1</v>
      </c>
      <c r="R318" s="5">
        <f t="shared" si="29"/>
        <v>1</v>
      </c>
      <c r="S318" s="5">
        <f t="shared" si="30"/>
        <v>0</v>
      </c>
      <c r="T318" s="5">
        <f t="shared" si="31"/>
        <v>0</v>
      </c>
      <c r="U318" s="5">
        <f t="shared" si="32"/>
        <v>0</v>
      </c>
      <c r="V318" s="5" t="str">
        <f t="shared" si="33"/>
        <v>无</v>
      </c>
      <c r="W318" s="5">
        <f t="shared" si="34"/>
        <v>1</v>
      </c>
    </row>
    <row r="319" spans="1:23" ht="17.25" customHeight="1">
      <c r="A319" s="1" t="s">
        <v>385</v>
      </c>
      <c r="B319" s="1" t="s">
        <v>21</v>
      </c>
      <c r="C319" s="1" t="s">
        <v>24</v>
      </c>
      <c r="D319" s="1" t="s">
        <v>30</v>
      </c>
      <c r="E319" s="6">
        <v>46249.46875</v>
      </c>
      <c r="F319" s="6">
        <v>46249.544444444444</v>
      </c>
      <c r="G319" s="6">
        <v>46251.708333333336</v>
      </c>
      <c r="H319" s="6">
        <v>46251.683333333334</v>
      </c>
      <c r="I319" s="6">
        <v>46251.875</v>
      </c>
      <c r="J319" s="6">
        <v>46251.78402777778</v>
      </c>
      <c r="K319" s="1" t="s">
        <v>66</v>
      </c>
      <c r="L319" s="1" t="s">
        <v>34</v>
      </c>
      <c r="M319" s="6"/>
      <c r="N319" s="6"/>
      <c r="O319" s="1">
        <v>0</v>
      </c>
      <c r="P319" s="1">
        <v>5</v>
      </c>
      <c r="Q319" s="5">
        <f t="shared" si="28"/>
        <v>1</v>
      </c>
      <c r="R319" s="5">
        <f t="shared" si="29"/>
        <v>1</v>
      </c>
      <c r="S319" s="5">
        <f t="shared" si="30"/>
        <v>0</v>
      </c>
      <c r="T319" s="5">
        <f t="shared" si="31"/>
        <v>0</v>
      </c>
      <c r="U319" s="5">
        <f t="shared" si="32"/>
        <v>0</v>
      </c>
      <c r="V319" s="5" t="str">
        <f t="shared" si="33"/>
        <v>无</v>
      </c>
      <c r="W319" s="5">
        <f t="shared" si="34"/>
        <v>1</v>
      </c>
    </row>
    <row r="320" spans="1:23" ht="17.25" customHeight="1">
      <c r="A320" s="1" t="s">
        <v>386</v>
      </c>
      <c r="B320" s="1" t="s">
        <v>22</v>
      </c>
      <c r="C320" s="1" t="s">
        <v>26</v>
      </c>
      <c r="D320" s="1" t="s">
        <v>32</v>
      </c>
      <c r="E320" s="6">
        <v>46249.489583333336</v>
      </c>
      <c r="F320" s="6">
        <v>46249.615972222222</v>
      </c>
      <c r="G320" s="6">
        <v>46252.5</v>
      </c>
      <c r="H320" s="6">
        <v>46252.473611111112</v>
      </c>
      <c r="I320" s="6">
        <v>46252.625</v>
      </c>
      <c r="J320" s="6">
        <v>46252.57708333333</v>
      </c>
      <c r="K320" s="1" t="s">
        <v>66</v>
      </c>
      <c r="L320" s="1" t="s">
        <v>34</v>
      </c>
      <c r="M320" s="6"/>
      <c r="N320" s="6"/>
      <c r="O320" s="1">
        <v>0</v>
      </c>
      <c r="P320" s="1">
        <v>5</v>
      </c>
      <c r="Q320" s="5">
        <f t="shared" si="28"/>
        <v>1</v>
      </c>
      <c r="R320" s="5">
        <f t="shared" si="29"/>
        <v>1</v>
      </c>
      <c r="S320" s="5">
        <f t="shared" si="30"/>
        <v>0</v>
      </c>
      <c r="T320" s="5">
        <f t="shared" si="31"/>
        <v>0</v>
      </c>
      <c r="U320" s="5">
        <f t="shared" si="32"/>
        <v>0</v>
      </c>
      <c r="V320" s="5" t="str">
        <f t="shared" si="33"/>
        <v>无</v>
      </c>
      <c r="W320" s="5">
        <f t="shared" si="34"/>
        <v>1</v>
      </c>
    </row>
    <row r="321" spans="1:23" ht="17.25" customHeight="1">
      <c r="A321" s="1" t="s">
        <v>387</v>
      </c>
      <c r="B321" s="1" t="s">
        <v>21</v>
      </c>
      <c r="C321" s="1" t="s">
        <v>25</v>
      </c>
      <c r="D321" s="1" t="s">
        <v>30</v>
      </c>
      <c r="E321" s="6">
        <v>46249.496527777781</v>
      </c>
      <c r="F321" s="6">
        <v>46249.590277777781</v>
      </c>
      <c r="G321" s="6">
        <v>46251.5</v>
      </c>
      <c r="H321" s="6">
        <v>46251.479861111111</v>
      </c>
      <c r="I321" s="6">
        <v>46251.708333333336</v>
      </c>
      <c r="J321" s="6">
        <v>46251.524305555555</v>
      </c>
      <c r="K321" s="1" t="s">
        <v>66</v>
      </c>
      <c r="L321" s="1" t="s">
        <v>34</v>
      </c>
      <c r="M321" s="6"/>
      <c r="N321" s="6"/>
      <c r="O321" s="1">
        <v>0</v>
      </c>
      <c r="P321" s="1">
        <v>5</v>
      </c>
      <c r="Q321" s="5">
        <f t="shared" si="28"/>
        <v>1</v>
      </c>
      <c r="R321" s="5">
        <f t="shared" si="29"/>
        <v>1</v>
      </c>
      <c r="S321" s="5">
        <f t="shared" si="30"/>
        <v>0</v>
      </c>
      <c r="T321" s="5">
        <f t="shared" si="31"/>
        <v>0</v>
      </c>
      <c r="U321" s="5">
        <f t="shared" si="32"/>
        <v>0</v>
      </c>
      <c r="V321" s="5" t="str">
        <f t="shared" si="33"/>
        <v>无</v>
      </c>
      <c r="W321" s="5">
        <f t="shared" si="34"/>
        <v>1</v>
      </c>
    </row>
    <row r="322" spans="1:23" ht="17.25" customHeight="1">
      <c r="A322" s="1" t="s">
        <v>388</v>
      </c>
      <c r="B322" s="1" t="s">
        <v>20</v>
      </c>
      <c r="C322" s="1" t="s">
        <v>24</v>
      </c>
      <c r="D322" s="1" t="s">
        <v>28</v>
      </c>
      <c r="E322" s="6">
        <v>46249.510416666664</v>
      </c>
      <c r="F322" s="6">
        <v>46249.577777777777</v>
      </c>
      <c r="G322" s="6">
        <v>46251.625</v>
      </c>
      <c r="H322" s="6">
        <v>46251.588888888888</v>
      </c>
      <c r="I322" s="6">
        <v>46251.791666666664</v>
      </c>
      <c r="J322" s="6">
        <v>46251.663888888892</v>
      </c>
      <c r="K322" s="1" t="s">
        <v>66</v>
      </c>
      <c r="L322" s="1" t="s">
        <v>34</v>
      </c>
      <c r="M322" s="6"/>
      <c r="N322" s="6"/>
      <c r="O322" s="1">
        <v>0</v>
      </c>
      <c r="P322" s="1">
        <v>4</v>
      </c>
      <c r="Q322" s="5">
        <f t="shared" ref="Q322:Q385" si="35">IF(AND(ISNUMBER(H322),H322&lt;=G322),1,0)</f>
        <v>1</v>
      </c>
      <c r="R322" s="5">
        <f t="shared" ref="R322:R385" si="36">IF(AND(ISNUMBER(J322),J322&lt;=I322),1,0)</f>
        <v>1</v>
      </c>
      <c r="S322" s="5">
        <f t="shared" ref="S322:S385" si="37">IF(V322="无",0,1)</f>
        <v>0</v>
      </c>
      <c r="T322" s="5">
        <f t="shared" ref="T322:T385" si="38">IF(AND(S322=1,ISNUMBER(N322)),1,0)</f>
        <v>0</v>
      </c>
      <c r="U322" s="5">
        <f t="shared" ref="U322:U385" si="39">IF(AND(S322=1,T322=0),1,0)</f>
        <v>0</v>
      </c>
      <c r="V322" s="5" t="str">
        <f t="shared" ref="V322:V385" si="40">IF(AND(ISNUMBER(F322),F322&lt;=G322),IF(AND(ISNUMBER(H322),H322&lt;=G322),IF(AND(ISNUMBER(J322),J322&lt;=I322),"无","完工超时"),"上门超时"),"派单超时")</f>
        <v>无</v>
      </c>
      <c r="W322" s="5">
        <f t="shared" ref="W322:W385" si="41">IF(L322=V322,1,0)</f>
        <v>1</v>
      </c>
    </row>
    <row r="323" spans="1:23" ht="17.25" customHeight="1">
      <c r="A323" s="1" t="s">
        <v>389</v>
      </c>
      <c r="B323" s="1" t="s">
        <v>22</v>
      </c>
      <c r="C323" s="1" t="s">
        <v>25</v>
      </c>
      <c r="D323" s="1" t="s">
        <v>32</v>
      </c>
      <c r="E323" s="6">
        <v>46249.517361111109</v>
      </c>
      <c r="F323" s="6">
        <v>46249.568749999999</v>
      </c>
      <c r="G323" s="6">
        <v>46251.416666666664</v>
      </c>
      <c r="H323" s="6">
        <v>46251.379166666666</v>
      </c>
      <c r="I323" s="6">
        <v>46251.625</v>
      </c>
      <c r="J323" s="6">
        <v>46251.48333333333</v>
      </c>
      <c r="K323" s="1" t="s">
        <v>66</v>
      </c>
      <c r="L323" s="1" t="s">
        <v>34</v>
      </c>
      <c r="M323" s="6"/>
      <c r="N323" s="6"/>
      <c r="O323" s="1">
        <v>0</v>
      </c>
      <c r="P323" s="1">
        <v>4</v>
      </c>
      <c r="Q323" s="5">
        <f t="shared" si="35"/>
        <v>1</v>
      </c>
      <c r="R323" s="5">
        <f t="shared" si="36"/>
        <v>1</v>
      </c>
      <c r="S323" s="5">
        <f t="shared" si="37"/>
        <v>0</v>
      </c>
      <c r="T323" s="5">
        <f t="shared" si="38"/>
        <v>0</v>
      </c>
      <c r="U323" s="5">
        <f t="shared" si="39"/>
        <v>0</v>
      </c>
      <c r="V323" s="5" t="str">
        <f t="shared" si="40"/>
        <v>无</v>
      </c>
      <c r="W323" s="5">
        <f t="shared" si="41"/>
        <v>1</v>
      </c>
    </row>
    <row r="324" spans="1:23" ht="17.25" customHeight="1">
      <c r="A324" s="1" t="s">
        <v>390</v>
      </c>
      <c r="B324" s="1" t="s">
        <v>21</v>
      </c>
      <c r="C324" s="1" t="s">
        <v>25</v>
      </c>
      <c r="D324" s="1" t="s">
        <v>29</v>
      </c>
      <c r="E324" s="6">
        <v>46249.517361111109</v>
      </c>
      <c r="F324" s="6">
        <v>46249.634722222225</v>
      </c>
      <c r="G324" s="6">
        <v>46250.708333333336</v>
      </c>
      <c r="H324" s="6">
        <v>46250.660416666666</v>
      </c>
      <c r="I324" s="6">
        <v>46250.916666666664</v>
      </c>
      <c r="J324" s="6">
        <v>46250.741666666669</v>
      </c>
      <c r="K324" s="1" t="s">
        <v>66</v>
      </c>
      <c r="L324" s="1" t="s">
        <v>34</v>
      </c>
      <c r="M324" s="6"/>
      <c r="N324" s="6"/>
      <c r="O324" s="1">
        <v>0</v>
      </c>
      <c r="P324" s="1">
        <v>5</v>
      </c>
      <c r="Q324" s="5">
        <f t="shared" si="35"/>
        <v>1</v>
      </c>
      <c r="R324" s="5">
        <f t="shared" si="36"/>
        <v>1</v>
      </c>
      <c r="S324" s="5">
        <f t="shared" si="37"/>
        <v>0</v>
      </c>
      <c r="T324" s="5">
        <f t="shared" si="38"/>
        <v>0</v>
      </c>
      <c r="U324" s="5">
        <f t="shared" si="39"/>
        <v>0</v>
      </c>
      <c r="V324" s="5" t="str">
        <f t="shared" si="40"/>
        <v>无</v>
      </c>
      <c r="W324" s="5">
        <f t="shared" si="41"/>
        <v>1</v>
      </c>
    </row>
    <row r="325" spans="1:23" ht="17.25" customHeight="1">
      <c r="A325" s="1" t="s">
        <v>391</v>
      </c>
      <c r="B325" s="1" t="s">
        <v>20</v>
      </c>
      <c r="C325" s="1" t="s">
        <v>25</v>
      </c>
      <c r="D325" s="1" t="s">
        <v>28</v>
      </c>
      <c r="E325" s="6">
        <v>46249.520833333336</v>
      </c>
      <c r="F325" s="6">
        <v>46249.666666666664</v>
      </c>
      <c r="G325" s="6">
        <v>46251.625</v>
      </c>
      <c r="H325" s="6">
        <v>46251.615972222222</v>
      </c>
      <c r="I325" s="6">
        <v>46251.833333333336</v>
      </c>
      <c r="J325" s="6">
        <v>46251.713888888888</v>
      </c>
      <c r="K325" s="1" t="s">
        <v>66</v>
      </c>
      <c r="L325" s="1" t="s">
        <v>34</v>
      </c>
      <c r="M325" s="6"/>
      <c r="N325" s="6"/>
      <c r="O325" s="1">
        <v>0</v>
      </c>
      <c r="P325" s="1">
        <v>4</v>
      </c>
      <c r="Q325" s="5">
        <f t="shared" si="35"/>
        <v>1</v>
      </c>
      <c r="R325" s="5">
        <f t="shared" si="36"/>
        <v>1</v>
      </c>
      <c r="S325" s="5">
        <f t="shared" si="37"/>
        <v>0</v>
      </c>
      <c r="T325" s="5">
        <f t="shared" si="38"/>
        <v>0</v>
      </c>
      <c r="U325" s="5">
        <f t="shared" si="39"/>
        <v>0</v>
      </c>
      <c r="V325" s="5" t="str">
        <f t="shared" si="40"/>
        <v>无</v>
      </c>
      <c r="W325" s="5">
        <f t="shared" si="41"/>
        <v>1</v>
      </c>
    </row>
    <row r="326" spans="1:23" ht="17.25" customHeight="1">
      <c r="A326" s="1" t="s">
        <v>392</v>
      </c>
      <c r="B326" s="1" t="s">
        <v>20</v>
      </c>
      <c r="C326" s="1" t="s">
        <v>25</v>
      </c>
      <c r="D326" s="1" t="s">
        <v>27</v>
      </c>
      <c r="E326" s="6">
        <v>46249.534722222219</v>
      </c>
      <c r="F326" s="6">
        <v>46249.654861111114</v>
      </c>
      <c r="G326" s="6">
        <v>46250.5</v>
      </c>
      <c r="H326" s="6">
        <v>46250.481944444444</v>
      </c>
      <c r="I326" s="6">
        <v>46250.708333333336</v>
      </c>
      <c r="J326" s="6">
        <v>46250.540277777778</v>
      </c>
      <c r="K326" s="1" t="s">
        <v>66</v>
      </c>
      <c r="L326" s="1" t="s">
        <v>34</v>
      </c>
      <c r="M326" s="6"/>
      <c r="N326" s="6"/>
      <c r="O326" s="1">
        <v>0</v>
      </c>
      <c r="P326" s="1">
        <v>4</v>
      </c>
      <c r="Q326" s="5">
        <f t="shared" si="35"/>
        <v>1</v>
      </c>
      <c r="R326" s="5">
        <f t="shared" si="36"/>
        <v>1</v>
      </c>
      <c r="S326" s="5">
        <f t="shared" si="37"/>
        <v>0</v>
      </c>
      <c r="T326" s="5">
        <f t="shared" si="38"/>
        <v>0</v>
      </c>
      <c r="U326" s="5">
        <f t="shared" si="39"/>
        <v>0</v>
      </c>
      <c r="V326" s="5" t="str">
        <f t="shared" si="40"/>
        <v>无</v>
      </c>
      <c r="W326" s="5">
        <f t="shared" si="41"/>
        <v>1</v>
      </c>
    </row>
    <row r="327" spans="1:23" ht="17.25" customHeight="1">
      <c r="A327" s="1" t="s">
        <v>393</v>
      </c>
      <c r="B327" s="1" t="s">
        <v>22</v>
      </c>
      <c r="C327" s="1" t="s">
        <v>24</v>
      </c>
      <c r="D327" s="1" t="s">
        <v>32</v>
      </c>
      <c r="E327" s="6">
        <v>46249.541666666664</v>
      </c>
      <c r="F327" s="6">
        <v>46249.56527777778</v>
      </c>
      <c r="G327" s="6">
        <v>46250.5</v>
      </c>
      <c r="H327" s="6">
        <v>46250.492361111108</v>
      </c>
      <c r="I327" s="6">
        <v>46250.666666666664</v>
      </c>
      <c r="J327" s="6">
        <v>46250.581250000003</v>
      </c>
      <c r="K327" s="1" t="s">
        <v>66</v>
      </c>
      <c r="L327" s="1" t="s">
        <v>34</v>
      </c>
      <c r="M327" s="6"/>
      <c r="N327" s="6"/>
      <c r="O327" s="1">
        <v>0</v>
      </c>
      <c r="P327" s="1">
        <v>4</v>
      </c>
      <c r="Q327" s="5">
        <f t="shared" si="35"/>
        <v>1</v>
      </c>
      <c r="R327" s="5">
        <f t="shared" si="36"/>
        <v>1</v>
      </c>
      <c r="S327" s="5">
        <f t="shared" si="37"/>
        <v>0</v>
      </c>
      <c r="T327" s="5">
        <f t="shared" si="38"/>
        <v>0</v>
      </c>
      <c r="U327" s="5">
        <f t="shared" si="39"/>
        <v>0</v>
      </c>
      <c r="V327" s="5" t="str">
        <f t="shared" si="40"/>
        <v>无</v>
      </c>
      <c r="W327" s="5">
        <f t="shared" si="41"/>
        <v>1</v>
      </c>
    </row>
    <row r="328" spans="1:23" ht="17.25" customHeight="1">
      <c r="A328" s="1" t="s">
        <v>394</v>
      </c>
      <c r="B328" s="1" t="s">
        <v>20</v>
      </c>
      <c r="C328" s="1" t="s">
        <v>26</v>
      </c>
      <c r="D328" s="1" t="s">
        <v>27</v>
      </c>
      <c r="E328" s="6">
        <v>46249.545138888891</v>
      </c>
      <c r="F328" s="6">
        <v>46249.573611111111</v>
      </c>
      <c r="G328" s="6">
        <v>46250.416666666664</v>
      </c>
      <c r="H328" s="6">
        <v>46250.392361111109</v>
      </c>
      <c r="I328" s="6">
        <v>46250.541666666664</v>
      </c>
      <c r="J328" s="6">
        <v>46250.481249999997</v>
      </c>
      <c r="K328" s="1" t="s">
        <v>66</v>
      </c>
      <c r="L328" s="1" t="s">
        <v>34</v>
      </c>
      <c r="M328" s="6"/>
      <c r="N328" s="6"/>
      <c r="O328" s="1">
        <v>0</v>
      </c>
      <c r="P328" s="1">
        <v>3</v>
      </c>
      <c r="Q328" s="5">
        <f t="shared" si="35"/>
        <v>1</v>
      </c>
      <c r="R328" s="5">
        <f t="shared" si="36"/>
        <v>1</v>
      </c>
      <c r="S328" s="5">
        <f t="shared" si="37"/>
        <v>0</v>
      </c>
      <c r="T328" s="5">
        <f t="shared" si="38"/>
        <v>0</v>
      </c>
      <c r="U328" s="5">
        <f t="shared" si="39"/>
        <v>0</v>
      </c>
      <c r="V328" s="5" t="str">
        <f t="shared" si="40"/>
        <v>无</v>
      </c>
      <c r="W328" s="5">
        <f t="shared" si="41"/>
        <v>1</v>
      </c>
    </row>
    <row r="329" spans="1:23" ht="17.25" customHeight="1">
      <c r="A329" s="1" t="s">
        <v>395</v>
      </c>
      <c r="B329" s="1" t="s">
        <v>22</v>
      </c>
      <c r="C329" s="1" t="s">
        <v>24</v>
      </c>
      <c r="D329" s="1" t="s">
        <v>31</v>
      </c>
      <c r="E329" s="6">
        <v>46249.5625</v>
      </c>
      <c r="F329" s="6">
        <v>46249.631944444445</v>
      </c>
      <c r="G329" s="6">
        <v>46250.416666666664</v>
      </c>
      <c r="H329" s="6">
        <v>46250.397222222222</v>
      </c>
      <c r="I329" s="6">
        <v>46250.583333333336</v>
      </c>
      <c r="J329" s="6">
        <v>46250.443055555559</v>
      </c>
      <c r="K329" s="1" t="s">
        <v>66</v>
      </c>
      <c r="L329" s="1" t="s">
        <v>34</v>
      </c>
      <c r="M329" s="6"/>
      <c r="N329" s="6"/>
      <c r="O329" s="1">
        <v>0</v>
      </c>
      <c r="P329" s="1">
        <v>4</v>
      </c>
      <c r="Q329" s="5">
        <f t="shared" si="35"/>
        <v>1</v>
      </c>
      <c r="R329" s="5">
        <f t="shared" si="36"/>
        <v>1</v>
      </c>
      <c r="S329" s="5">
        <f t="shared" si="37"/>
        <v>0</v>
      </c>
      <c r="T329" s="5">
        <f t="shared" si="38"/>
        <v>0</v>
      </c>
      <c r="U329" s="5">
        <f t="shared" si="39"/>
        <v>0</v>
      </c>
      <c r="V329" s="5" t="str">
        <f t="shared" si="40"/>
        <v>无</v>
      </c>
      <c r="W329" s="5">
        <f t="shared" si="41"/>
        <v>1</v>
      </c>
    </row>
    <row r="330" spans="1:23" ht="17.25" customHeight="1">
      <c r="A330" s="1" t="s">
        <v>396</v>
      </c>
      <c r="B330" s="1" t="s">
        <v>22</v>
      </c>
      <c r="C330" s="1" t="s">
        <v>24</v>
      </c>
      <c r="D330" s="1" t="s">
        <v>32</v>
      </c>
      <c r="E330" s="6">
        <v>46249.611111111109</v>
      </c>
      <c r="F330" s="6">
        <v>46249.76458333333</v>
      </c>
      <c r="G330" s="6">
        <v>46250.5</v>
      </c>
      <c r="H330" s="6">
        <v>46250.463888888888</v>
      </c>
      <c r="I330" s="6">
        <v>46250.666666666664</v>
      </c>
      <c r="J330" s="6">
        <v>46250.561111111114</v>
      </c>
      <c r="K330" s="1" t="s">
        <v>66</v>
      </c>
      <c r="L330" s="1" t="s">
        <v>34</v>
      </c>
      <c r="M330" s="6"/>
      <c r="N330" s="6"/>
      <c r="O330" s="1">
        <v>0</v>
      </c>
      <c r="P330" s="1">
        <v>4</v>
      </c>
      <c r="Q330" s="5">
        <f t="shared" si="35"/>
        <v>1</v>
      </c>
      <c r="R330" s="5">
        <f t="shared" si="36"/>
        <v>1</v>
      </c>
      <c r="S330" s="5">
        <f t="shared" si="37"/>
        <v>0</v>
      </c>
      <c r="T330" s="5">
        <f t="shared" si="38"/>
        <v>0</v>
      </c>
      <c r="U330" s="5">
        <f t="shared" si="39"/>
        <v>0</v>
      </c>
      <c r="V330" s="5" t="str">
        <f t="shared" si="40"/>
        <v>无</v>
      </c>
      <c r="W330" s="5">
        <f t="shared" si="41"/>
        <v>1</v>
      </c>
    </row>
    <row r="331" spans="1:23" ht="17.25" customHeight="1">
      <c r="A331" s="1" t="s">
        <v>397</v>
      </c>
      <c r="B331" s="1" t="s">
        <v>22</v>
      </c>
      <c r="C331" s="1" t="s">
        <v>26</v>
      </c>
      <c r="D331" s="1" t="s">
        <v>31</v>
      </c>
      <c r="E331" s="6">
        <v>46249.618055555555</v>
      </c>
      <c r="F331" s="6">
        <v>46249.661111111112</v>
      </c>
      <c r="G331" s="6">
        <v>46252.625</v>
      </c>
      <c r="H331" s="6">
        <v>46252.604861111111</v>
      </c>
      <c r="I331" s="6">
        <v>46252.75</v>
      </c>
      <c r="J331" s="6">
        <v>46252.692361111112</v>
      </c>
      <c r="K331" s="1" t="s">
        <v>66</v>
      </c>
      <c r="L331" s="1" t="s">
        <v>34</v>
      </c>
      <c r="M331" s="6"/>
      <c r="N331" s="6"/>
      <c r="O331" s="1">
        <v>0</v>
      </c>
      <c r="P331" s="1">
        <v>4</v>
      </c>
      <c r="Q331" s="5">
        <f t="shared" si="35"/>
        <v>1</v>
      </c>
      <c r="R331" s="5">
        <f t="shared" si="36"/>
        <v>1</v>
      </c>
      <c r="S331" s="5">
        <f t="shared" si="37"/>
        <v>0</v>
      </c>
      <c r="T331" s="5">
        <f t="shared" si="38"/>
        <v>0</v>
      </c>
      <c r="U331" s="5">
        <f t="shared" si="39"/>
        <v>0</v>
      </c>
      <c r="V331" s="5" t="str">
        <f t="shared" si="40"/>
        <v>无</v>
      </c>
      <c r="W331" s="5">
        <f t="shared" si="41"/>
        <v>1</v>
      </c>
    </row>
    <row r="332" spans="1:23" ht="17.25" customHeight="1">
      <c r="A332" s="1" t="s">
        <v>398</v>
      </c>
      <c r="B332" s="1" t="s">
        <v>22</v>
      </c>
      <c r="C332" s="1" t="s">
        <v>24</v>
      </c>
      <c r="D332" s="1" t="s">
        <v>32</v>
      </c>
      <c r="E332" s="6">
        <v>46249.6875</v>
      </c>
      <c r="F332" s="6">
        <v>46249.731249999997</v>
      </c>
      <c r="G332" s="6">
        <v>46251.416666666664</v>
      </c>
      <c r="H332" s="6">
        <v>46251.384722222225</v>
      </c>
      <c r="I332" s="6">
        <v>46251.583333333336</v>
      </c>
      <c r="J332" s="6">
        <v>46251.458333333336</v>
      </c>
      <c r="K332" s="1" t="s">
        <v>66</v>
      </c>
      <c r="L332" s="1" t="s">
        <v>34</v>
      </c>
      <c r="M332" s="6"/>
      <c r="N332" s="6"/>
      <c r="O332" s="1">
        <v>0</v>
      </c>
      <c r="P332" s="1">
        <v>5</v>
      </c>
      <c r="Q332" s="5">
        <f t="shared" si="35"/>
        <v>1</v>
      </c>
      <c r="R332" s="5">
        <f t="shared" si="36"/>
        <v>1</v>
      </c>
      <c r="S332" s="5">
        <f t="shared" si="37"/>
        <v>0</v>
      </c>
      <c r="T332" s="5">
        <f t="shared" si="38"/>
        <v>0</v>
      </c>
      <c r="U332" s="5">
        <f t="shared" si="39"/>
        <v>0</v>
      </c>
      <c r="V332" s="5" t="str">
        <f t="shared" si="40"/>
        <v>无</v>
      </c>
      <c r="W332" s="5">
        <f t="shared" si="41"/>
        <v>1</v>
      </c>
    </row>
    <row r="333" spans="1:23" ht="17.25" customHeight="1">
      <c r="A333" s="1" t="s">
        <v>399</v>
      </c>
      <c r="B333" s="1" t="s">
        <v>21</v>
      </c>
      <c r="C333" s="1" t="s">
        <v>25</v>
      </c>
      <c r="D333" s="1" t="s">
        <v>29</v>
      </c>
      <c r="E333" s="6">
        <v>46249.71875</v>
      </c>
      <c r="F333" s="6">
        <v>46249.840277777781</v>
      </c>
      <c r="G333" s="6">
        <v>46251.416666666664</v>
      </c>
      <c r="H333" s="6">
        <v>46251.393055555556</v>
      </c>
      <c r="I333" s="6">
        <v>46251.625</v>
      </c>
      <c r="J333" s="6">
        <v>46251.449305555558</v>
      </c>
      <c r="K333" s="1" t="s">
        <v>66</v>
      </c>
      <c r="L333" s="1" t="s">
        <v>34</v>
      </c>
      <c r="M333" s="6"/>
      <c r="N333" s="6"/>
      <c r="O333" s="1">
        <v>0</v>
      </c>
      <c r="P333" s="1">
        <v>3</v>
      </c>
      <c r="Q333" s="5">
        <f t="shared" si="35"/>
        <v>1</v>
      </c>
      <c r="R333" s="5">
        <f t="shared" si="36"/>
        <v>1</v>
      </c>
      <c r="S333" s="5">
        <f t="shared" si="37"/>
        <v>0</v>
      </c>
      <c r="T333" s="5">
        <f t="shared" si="38"/>
        <v>0</v>
      </c>
      <c r="U333" s="5">
        <f t="shared" si="39"/>
        <v>0</v>
      </c>
      <c r="V333" s="5" t="str">
        <f t="shared" si="40"/>
        <v>无</v>
      </c>
      <c r="W333" s="5">
        <f t="shared" si="41"/>
        <v>1</v>
      </c>
    </row>
    <row r="334" spans="1:23" ht="17.25" customHeight="1">
      <c r="A334" s="1" t="s">
        <v>400</v>
      </c>
      <c r="B334" s="1" t="s">
        <v>21</v>
      </c>
      <c r="C334" s="1" t="s">
        <v>24</v>
      </c>
      <c r="D334" s="1" t="s">
        <v>29</v>
      </c>
      <c r="E334" s="6">
        <v>46249.729166666664</v>
      </c>
      <c r="F334" s="6">
        <v>46249.887499999997</v>
      </c>
      <c r="G334" s="6">
        <v>46250.625</v>
      </c>
      <c r="H334" s="6">
        <v>46250.584722222222</v>
      </c>
      <c r="I334" s="6">
        <v>46250.791666666664</v>
      </c>
      <c r="J334" s="6">
        <v>46250.677083333336</v>
      </c>
      <c r="K334" s="1" t="s">
        <v>66</v>
      </c>
      <c r="L334" s="1" t="s">
        <v>34</v>
      </c>
      <c r="M334" s="6"/>
      <c r="N334" s="6"/>
      <c r="O334" s="1">
        <v>0</v>
      </c>
      <c r="P334" s="1">
        <v>5</v>
      </c>
      <c r="Q334" s="5">
        <f t="shared" si="35"/>
        <v>1</v>
      </c>
      <c r="R334" s="5">
        <f t="shared" si="36"/>
        <v>1</v>
      </c>
      <c r="S334" s="5">
        <f t="shared" si="37"/>
        <v>0</v>
      </c>
      <c r="T334" s="5">
        <f t="shared" si="38"/>
        <v>0</v>
      </c>
      <c r="U334" s="5">
        <f t="shared" si="39"/>
        <v>0</v>
      </c>
      <c r="V334" s="5" t="str">
        <f t="shared" si="40"/>
        <v>无</v>
      </c>
      <c r="W334" s="5">
        <f t="shared" si="41"/>
        <v>1</v>
      </c>
    </row>
    <row r="335" spans="1:23" ht="17.25" customHeight="1">
      <c r="A335" s="1" t="s">
        <v>401</v>
      </c>
      <c r="B335" s="1" t="s">
        <v>21</v>
      </c>
      <c r="C335" s="1" t="s">
        <v>25</v>
      </c>
      <c r="D335" s="1" t="s">
        <v>30</v>
      </c>
      <c r="E335" s="6">
        <v>46249.743055555555</v>
      </c>
      <c r="F335" s="6">
        <v>46249.784722222219</v>
      </c>
      <c r="G335" s="6">
        <v>46251.625</v>
      </c>
      <c r="H335" s="6">
        <v>46251.584027777775</v>
      </c>
      <c r="I335" s="6">
        <v>46251.833333333336</v>
      </c>
      <c r="J335" s="6">
        <v>46251.627083333333</v>
      </c>
      <c r="K335" s="1" t="s">
        <v>66</v>
      </c>
      <c r="L335" s="1" t="s">
        <v>34</v>
      </c>
      <c r="M335" s="6"/>
      <c r="N335" s="6"/>
      <c r="O335" s="1">
        <v>0</v>
      </c>
      <c r="P335" s="1">
        <v>5</v>
      </c>
      <c r="Q335" s="5">
        <f t="shared" si="35"/>
        <v>1</v>
      </c>
      <c r="R335" s="5">
        <f t="shared" si="36"/>
        <v>1</v>
      </c>
      <c r="S335" s="5">
        <f t="shared" si="37"/>
        <v>0</v>
      </c>
      <c r="T335" s="5">
        <f t="shared" si="38"/>
        <v>0</v>
      </c>
      <c r="U335" s="5">
        <f t="shared" si="39"/>
        <v>0</v>
      </c>
      <c r="V335" s="5" t="str">
        <f t="shared" si="40"/>
        <v>无</v>
      </c>
      <c r="W335" s="5">
        <f t="shared" si="41"/>
        <v>1</v>
      </c>
    </row>
    <row r="336" spans="1:23" ht="17.25" customHeight="1">
      <c r="A336" s="1" t="s">
        <v>402</v>
      </c>
      <c r="B336" s="1" t="s">
        <v>21</v>
      </c>
      <c r="C336" s="1" t="s">
        <v>24</v>
      </c>
      <c r="D336" s="1" t="s">
        <v>29</v>
      </c>
      <c r="E336" s="6">
        <v>46249.75</v>
      </c>
      <c r="F336" s="6">
        <v>46250.577777777777</v>
      </c>
      <c r="G336" s="6">
        <v>46250.5</v>
      </c>
      <c r="H336" s="6">
        <v>46250.647916666669</v>
      </c>
      <c r="I336" s="6">
        <v>46250.666666666664</v>
      </c>
      <c r="J336" s="6">
        <v>46250.696527777778</v>
      </c>
      <c r="K336" s="1" t="s">
        <v>66</v>
      </c>
      <c r="L336" s="1" t="s">
        <v>35</v>
      </c>
      <c r="M336" s="6">
        <v>46250.5</v>
      </c>
      <c r="N336" s="6">
        <v>46250.839583333334</v>
      </c>
      <c r="O336" s="1">
        <v>0</v>
      </c>
      <c r="P336" s="1"/>
      <c r="Q336" s="5">
        <f t="shared" si="35"/>
        <v>0</v>
      </c>
      <c r="R336" s="5">
        <f t="shared" si="36"/>
        <v>0</v>
      </c>
      <c r="S336" s="5">
        <f t="shared" si="37"/>
        <v>1</v>
      </c>
      <c r="T336" s="5">
        <f t="shared" si="38"/>
        <v>1</v>
      </c>
      <c r="U336" s="5">
        <f t="shared" si="39"/>
        <v>0</v>
      </c>
      <c r="V336" s="5" t="str">
        <f t="shared" si="40"/>
        <v>派单超时</v>
      </c>
      <c r="W336" s="5">
        <f t="shared" si="41"/>
        <v>1</v>
      </c>
    </row>
    <row r="337" spans="1:23" ht="17.25" customHeight="1">
      <c r="A337" s="1" t="s">
        <v>403</v>
      </c>
      <c r="B337" s="1" t="s">
        <v>20</v>
      </c>
      <c r="C337" s="1" t="s">
        <v>25</v>
      </c>
      <c r="D337" s="1" t="s">
        <v>27</v>
      </c>
      <c r="E337" s="6">
        <v>46249.753472222219</v>
      </c>
      <c r="F337" s="6">
        <v>46249.818055555559</v>
      </c>
      <c r="G337" s="6">
        <v>46251.5</v>
      </c>
      <c r="H337" s="6">
        <v>46251.477083333331</v>
      </c>
      <c r="I337" s="6">
        <v>46251.708333333336</v>
      </c>
      <c r="J337" s="6">
        <v>46251.565972222219</v>
      </c>
      <c r="K337" s="1" t="s">
        <v>66</v>
      </c>
      <c r="L337" s="1" t="s">
        <v>34</v>
      </c>
      <c r="M337" s="6"/>
      <c r="N337" s="6"/>
      <c r="O337" s="1">
        <v>0</v>
      </c>
      <c r="P337" s="1">
        <v>5</v>
      </c>
      <c r="Q337" s="5">
        <f t="shared" si="35"/>
        <v>1</v>
      </c>
      <c r="R337" s="5">
        <f t="shared" si="36"/>
        <v>1</v>
      </c>
      <c r="S337" s="5">
        <f t="shared" si="37"/>
        <v>0</v>
      </c>
      <c r="T337" s="5">
        <f t="shared" si="38"/>
        <v>0</v>
      </c>
      <c r="U337" s="5">
        <f t="shared" si="39"/>
        <v>0</v>
      </c>
      <c r="V337" s="5" t="str">
        <f t="shared" si="40"/>
        <v>无</v>
      </c>
      <c r="W337" s="5">
        <f t="shared" si="41"/>
        <v>1</v>
      </c>
    </row>
    <row r="338" spans="1:23" ht="17.25" customHeight="1">
      <c r="A338" s="1" t="s">
        <v>404</v>
      </c>
      <c r="B338" s="1" t="s">
        <v>20</v>
      </c>
      <c r="C338" s="1" t="s">
        <v>24</v>
      </c>
      <c r="D338" s="1" t="s">
        <v>28</v>
      </c>
      <c r="E338" s="6">
        <v>46249.770833333336</v>
      </c>
      <c r="F338" s="6">
        <v>46249.856249999997</v>
      </c>
      <c r="G338" s="6">
        <v>46251.416666666664</v>
      </c>
      <c r="H338" s="6">
        <v>46251.379166666666</v>
      </c>
      <c r="I338" s="6">
        <v>46251.583333333336</v>
      </c>
      <c r="J338" s="6"/>
      <c r="K338" s="1" t="s">
        <v>73</v>
      </c>
      <c r="L338" s="1" t="s">
        <v>37</v>
      </c>
      <c r="M338" s="6">
        <v>46251.583333333336</v>
      </c>
      <c r="N338" s="6"/>
      <c r="O338" s="1">
        <v>0</v>
      </c>
      <c r="P338" s="1"/>
      <c r="Q338" s="5">
        <f t="shared" si="35"/>
        <v>1</v>
      </c>
      <c r="R338" s="5">
        <f t="shared" si="36"/>
        <v>0</v>
      </c>
      <c r="S338" s="5">
        <f t="shared" si="37"/>
        <v>1</v>
      </c>
      <c r="T338" s="5">
        <f t="shared" si="38"/>
        <v>0</v>
      </c>
      <c r="U338" s="5">
        <f t="shared" si="39"/>
        <v>1</v>
      </c>
      <c r="V338" s="5" t="str">
        <f t="shared" si="40"/>
        <v>完工超时</v>
      </c>
      <c r="W338" s="5">
        <f t="shared" si="41"/>
        <v>1</v>
      </c>
    </row>
    <row r="339" spans="1:23" ht="17.25" customHeight="1">
      <c r="A339" s="1" t="s">
        <v>405</v>
      </c>
      <c r="B339" s="1" t="s">
        <v>20</v>
      </c>
      <c r="C339" s="1" t="s">
        <v>25</v>
      </c>
      <c r="D339" s="1" t="s">
        <v>27</v>
      </c>
      <c r="E339" s="6">
        <v>46249.788194444445</v>
      </c>
      <c r="F339" s="6">
        <v>46249.872916666667</v>
      </c>
      <c r="G339" s="6">
        <v>46250.708333333336</v>
      </c>
      <c r="H339" s="6">
        <v>46250.69027777778</v>
      </c>
      <c r="I339" s="6">
        <v>46250.916666666664</v>
      </c>
      <c r="J339" s="6">
        <v>46250.78402777778</v>
      </c>
      <c r="K339" s="1" t="s">
        <v>66</v>
      </c>
      <c r="L339" s="1" t="s">
        <v>34</v>
      </c>
      <c r="M339" s="6"/>
      <c r="N339" s="6"/>
      <c r="O339" s="1">
        <v>0</v>
      </c>
      <c r="P339" s="1">
        <v>5</v>
      </c>
      <c r="Q339" s="5">
        <f t="shared" si="35"/>
        <v>1</v>
      </c>
      <c r="R339" s="5">
        <f t="shared" si="36"/>
        <v>1</v>
      </c>
      <c r="S339" s="5">
        <f t="shared" si="37"/>
        <v>0</v>
      </c>
      <c r="T339" s="5">
        <f t="shared" si="38"/>
        <v>0</v>
      </c>
      <c r="U339" s="5">
        <f t="shared" si="39"/>
        <v>0</v>
      </c>
      <c r="V339" s="5" t="str">
        <f t="shared" si="40"/>
        <v>无</v>
      </c>
      <c r="W339" s="5">
        <f t="shared" si="41"/>
        <v>1</v>
      </c>
    </row>
    <row r="340" spans="1:23" ht="17.25" customHeight="1">
      <c r="A340" s="1" t="s">
        <v>406</v>
      </c>
      <c r="B340" s="1" t="s">
        <v>22</v>
      </c>
      <c r="C340" s="1" t="s">
        <v>24</v>
      </c>
      <c r="D340" s="1" t="s">
        <v>31</v>
      </c>
      <c r="E340" s="6">
        <v>46250.399305555555</v>
      </c>
      <c r="F340" s="6">
        <v>46250.438194444447</v>
      </c>
      <c r="G340" s="6">
        <v>46252.416666666664</v>
      </c>
      <c r="H340" s="6">
        <v>46252.364583333336</v>
      </c>
      <c r="I340" s="6">
        <v>46252.583333333336</v>
      </c>
      <c r="J340" s="6">
        <v>46252.46597222222</v>
      </c>
      <c r="K340" s="1" t="s">
        <v>66</v>
      </c>
      <c r="L340" s="1" t="s">
        <v>34</v>
      </c>
      <c r="M340" s="6"/>
      <c r="N340" s="6"/>
      <c r="O340" s="1">
        <v>0</v>
      </c>
      <c r="P340" s="1">
        <v>5</v>
      </c>
      <c r="Q340" s="5">
        <f t="shared" si="35"/>
        <v>1</v>
      </c>
      <c r="R340" s="5">
        <f t="shared" si="36"/>
        <v>1</v>
      </c>
      <c r="S340" s="5">
        <f t="shared" si="37"/>
        <v>0</v>
      </c>
      <c r="T340" s="5">
        <f t="shared" si="38"/>
        <v>0</v>
      </c>
      <c r="U340" s="5">
        <f t="shared" si="39"/>
        <v>0</v>
      </c>
      <c r="V340" s="5" t="str">
        <f t="shared" si="40"/>
        <v>无</v>
      </c>
      <c r="W340" s="5">
        <f t="shared" si="41"/>
        <v>1</v>
      </c>
    </row>
    <row r="341" spans="1:23" ht="17.25" customHeight="1">
      <c r="A341" s="1" t="s">
        <v>407</v>
      </c>
      <c r="B341" s="1" t="s">
        <v>22</v>
      </c>
      <c r="C341" s="1" t="s">
        <v>26</v>
      </c>
      <c r="D341" s="1" t="s">
        <v>32</v>
      </c>
      <c r="E341" s="6">
        <v>46250.413194444445</v>
      </c>
      <c r="F341" s="6">
        <v>46250.487500000003</v>
      </c>
      <c r="G341" s="6">
        <v>46251.625</v>
      </c>
      <c r="H341" s="6">
        <v>46251.572916666664</v>
      </c>
      <c r="I341" s="6">
        <v>46251.75</v>
      </c>
      <c r="J341" s="6">
        <v>46251.676388888889</v>
      </c>
      <c r="K341" s="1" t="s">
        <v>66</v>
      </c>
      <c r="L341" s="1" t="s">
        <v>34</v>
      </c>
      <c r="M341" s="6"/>
      <c r="N341" s="6"/>
      <c r="O341" s="1">
        <v>0</v>
      </c>
      <c r="P341" s="1">
        <v>3</v>
      </c>
      <c r="Q341" s="5">
        <f t="shared" si="35"/>
        <v>1</v>
      </c>
      <c r="R341" s="5">
        <f t="shared" si="36"/>
        <v>1</v>
      </c>
      <c r="S341" s="5">
        <f t="shared" si="37"/>
        <v>0</v>
      </c>
      <c r="T341" s="5">
        <f t="shared" si="38"/>
        <v>0</v>
      </c>
      <c r="U341" s="5">
        <f t="shared" si="39"/>
        <v>0</v>
      </c>
      <c r="V341" s="5" t="str">
        <f t="shared" si="40"/>
        <v>无</v>
      </c>
      <c r="W341" s="5">
        <f t="shared" si="41"/>
        <v>1</v>
      </c>
    </row>
    <row r="342" spans="1:23" ht="17.25" customHeight="1">
      <c r="A342" s="1" t="s">
        <v>408</v>
      </c>
      <c r="B342" s="1" t="s">
        <v>22</v>
      </c>
      <c r="C342" s="1" t="s">
        <v>24</v>
      </c>
      <c r="D342" s="1" t="s">
        <v>32</v>
      </c>
      <c r="E342" s="6">
        <v>46250.440972222219</v>
      </c>
      <c r="F342" s="6">
        <v>46250.604166666664</v>
      </c>
      <c r="G342" s="6">
        <v>46252.708333333336</v>
      </c>
      <c r="H342" s="6">
        <v>46252.699305555558</v>
      </c>
      <c r="I342" s="6">
        <v>46252.875</v>
      </c>
      <c r="J342" s="6">
        <v>46252.75</v>
      </c>
      <c r="K342" s="1" t="s">
        <v>66</v>
      </c>
      <c r="L342" s="1" t="s">
        <v>34</v>
      </c>
      <c r="M342" s="6"/>
      <c r="N342" s="6"/>
      <c r="O342" s="1">
        <v>0</v>
      </c>
      <c r="P342" s="1">
        <v>5</v>
      </c>
      <c r="Q342" s="5">
        <f t="shared" si="35"/>
        <v>1</v>
      </c>
      <c r="R342" s="5">
        <f t="shared" si="36"/>
        <v>1</v>
      </c>
      <c r="S342" s="5">
        <f t="shared" si="37"/>
        <v>0</v>
      </c>
      <c r="T342" s="5">
        <f t="shared" si="38"/>
        <v>0</v>
      </c>
      <c r="U342" s="5">
        <f t="shared" si="39"/>
        <v>0</v>
      </c>
      <c r="V342" s="5" t="str">
        <f t="shared" si="40"/>
        <v>无</v>
      </c>
      <c r="W342" s="5">
        <f t="shared" si="41"/>
        <v>1</v>
      </c>
    </row>
    <row r="343" spans="1:23" ht="17.25" customHeight="1">
      <c r="A343" s="1" t="s">
        <v>409</v>
      </c>
      <c r="B343" s="1" t="s">
        <v>21</v>
      </c>
      <c r="C343" s="1" t="s">
        <v>24</v>
      </c>
      <c r="D343" s="1" t="s">
        <v>30</v>
      </c>
      <c r="E343" s="6">
        <v>46250.454861111109</v>
      </c>
      <c r="F343" s="6">
        <v>46250.477777777778</v>
      </c>
      <c r="G343" s="6">
        <v>46251.416666666664</v>
      </c>
      <c r="H343" s="6">
        <v>46251.369444444441</v>
      </c>
      <c r="I343" s="6">
        <v>46251.583333333336</v>
      </c>
      <c r="J343" s="6">
        <v>46251.472916666666</v>
      </c>
      <c r="K343" s="1" t="s">
        <v>66</v>
      </c>
      <c r="L343" s="1" t="s">
        <v>34</v>
      </c>
      <c r="M343" s="6"/>
      <c r="N343" s="6"/>
      <c r="O343" s="1">
        <v>0</v>
      </c>
      <c r="P343" s="1">
        <v>3</v>
      </c>
      <c r="Q343" s="5">
        <f t="shared" si="35"/>
        <v>1</v>
      </c>
      <c r="R343" s="5">
        <f t="shared" si="36"/>
        <v>1</v>
      </c>
      <c r="S343" s="5">
        <f t="shared" si="37"/>
        <v>0</v>
      </c>
      <c r="T343" s="5">
        <f t="shared" si="38"/>
        <v>0</v>
      </c>
      <c r="U343" s="5">
        <f t="shared" si="39"/>
        <v>0</v>
      </c>
      <c r="V343" s="5" t="str">
        <f t="shared" si="40"/>
        <v>无</v>
      </c>
      <c r="W343" s="5">
        <f t="shared" si="41"/>
        <v>1</v>
      </c>
    </row>
    <row r="344" spans="1:23" ht="17.25" customHeight="1">
      <c r="A344" s="1" t="s">
        <v>410</v>
      </c>
      <c r="B344" s="1" t="s">
        <v>22</v>
      </c>
      <c r="C344" s="1" t="s">
        <v>25</v>
      </c>
      <c r="D344" s="1" t="s">
        <v>32</v>
      </c>
      <c r="E344" s="6">
        <v>46250.461805555555</v>
      </c>
      <c r="F344" s="6">
        <v>46250.493750000001</v>
      </c>
      <c r="G344" s="6">
        <v>46251.625</v>
      </c>
      <c r="H344" s="6">
        <v>46251.595138888886</v>
      </c>
      <c r="I344" s="6">
        <v>46251.833333333336</v>
      </c>
      <c r="J344" s="6">
        <v>46251.681944444441</v>
      </c>
      <c r="K344" s="1" t="s">
        <v>66</v>
      </c>
      <c r="L344" s="1" t="s">
        <v>34</v>
      </c>
      <c r="M344" s="6"/>
      <c r="N344" s="6"/>
      <c r="O344" s="1">
        <v>0</v>
      </c>
      <c r="P344" s="1">
        <v>5</v>
      </c>
      <c r="Q344" s="5">
        <f t="shared" si="35"/>
        <v>1</v>
      </c>
      <c r="R344" s="5">
        <f t="shared" si="36"/>
        <v>1</v>
      </c>
      <c r="S344" s="5">
        <f t="shared" si="37"/>
        <v>0</v>
      </c>
      <c r="T344" s="5">
        <f t="shared" si="38"/>
        <v>0</v>
      </c>
      <c r="U344" s="5">
        <f t="shared" si="39"/>
        <v>0</v>
      </c>
      <c r="V344" s="5" t="str">
        <f t="shared" si="40"/>
        <v>无</v>
      </c>
      <c r="W344" s="5">
        <f t="shared" si="41"/>
        <v>1</v>
      </c>
    </row>
    <row r="345" spans="1:23" ht="17.25" customHeight="1">
      <c r="A345" s="1" t="s">
        <v>411</v>
      </c>
      <c r="B345" s="1" t="s">
        <v>20</v>
      </c>
      <c r="C345" s="1" t="s">
        <v>25</v>
      </c>
      <c r="D345" s="1" t="s">
        <v>27</v>
      </c>
      <c r="E345" s="6">
        <v>46250.465277777781</v>
      </c>
      <c r="F345" s="6">
        <v>46250.620138888888</v>
      </c>
      <c r="G345" s="6">
        <v>46251.708333333336</v>
      </c>
      <c r="H345" s="6"/>
      <c r="I345" s="6">
        <v>46251.916666666664</v>
      </c>
      <c r="J345" s="6"/>
      <c r="K345" s="1" t="s">
        <v>73</v>
      </c>
      <c r="L345" s="1" t="s">
        <v>36</v>
      </c>
      <c r="M345" s="6">
        <v>46251.708333333336</v>
      </c>
      <c r="N345" s="6"/>
      <c r="O345" s="1">
        <v>1</v>
      </c>
      <c r="P345" s="1"/>
      <c r="Q345" s="5">
        <f t="shared" si="35"/>
        <v>0</v>
      </c>
      <c r="R345" s="5">
        <f t="shared" si="36"/>
        <v>0</v>
      </c>
      <c r="S345" s="5">
        <f t="shared" si="37"/>
        <v>1</v>
      </c>
      <c r="T345" s="5">
        <f t="shared" si="38"/>
        <v>0</v>
      </c>
      <c r="U345" s="5">
        <f t="shared" si="39"/>
        <v>1</v>
      </c>
      <c r="V345" s="5" t="str">
        <f t="shared" si="40"/>
        <v>上门超时</v>
      </c>
      <c r="W345" s="5">
        <f t="shared" si="41"/>
        <v>1</v>
      </c>
    </row>
    <row r="346" spans="1:23" ht="17.25" customHeight="1">
      <c r="A346" s="1" t="s">
        <v>412</v>
      </c>
      <c r="B346" s="1" t="s">
        <v>22</v>
      </c>
      <c r="C346" s="1" t="s">
        <v>25</v>
      </c>
      <c r="D346" s="1" t="s">
        <v>31</v>
      </c>
      <c r="E346" s="6">
        <v>46250.506944444445</v>
      </c>
      <c r="F346" s="6">
        <v>46250.536805555559</v>
      </c>
      <c r="G346" s="6">
        <v>46253.625</v>
      </c>
      <c r="H346" s="6">
        <v>46253.580555555556</v>
      </c>
      <c r="I346" s="6">
        <v>46253.833333333336</v>
      </c>
      <c r="J346" s="6">
        <v>46253.946527777778</v>
      </c>
      <c r="K346" s="1" t="s">
        <v>66</v>
      </c>
      <c r="L346" s="1" t="s">
        <v>37</v>
      </c>
      <c r="M346" s="6">
        <v>46253.833333333336</v>
      </c>
      <c r="N346" s="6">
        <v>46254.010416666664</v>
      </c>
      <c r="O346" s="1">
        <v>0</v>
      </c>
      <c r="P346" s="1"/>
      <c r="Q346" s="5">
        <f t="shared" si="35"/>
        <v>1</v>
      </c>
      <c r="R346" s="5">
        <f t="shared" si="36"/>
        <v>0</v>
      </c>
      <c r="S346" s="5">
        <f t="shared" si="37"/>
        <v>1</v>
      </c>
      <c r="T346" s="5">
        <f t="shared" si="38"/>
        <v>1</v>
      </c>
      <c r="U346" s="5">
        <f t="shared" si="39"/>
        <v>0</v>
      </c>
      <c r="V346" s="5" t="str">
        <f t="shared" si="40"/>
        <v>完工超时</v>
      </c>
      <c r="W346" s="5">
        <f t="shared" si="41"/>
        <v>1</v>
      </c>
    </row>
    <row r="347" spans="1:23" ht="17.25" customHeight="1">
      <c r="A347" s="1" t="s">
        <v>413</v>
      </c>
      <c r="B347" s="1" t="s">
        <v>22</v>
      </c>
      <c r="C347" s="1" t="s">
        <v>25</v>
      </c>
      <c r="D347" s="1" t="s">
        <v>31</v>
      </c>
      <c r="E347" s="6">
        <v>46250.520833333336</v>
      </c>
      <c r="F347" s="6">
        <v>46250.593055555553</v>
      </c>
      <c r="G347" s="6">
        <v>46252.625</v>
      </c>
      <c r="H347" s="6">
        <v>46252.616666666669</v>
      </c>
      <c r="I347" s="6">
        <v>46252.833333333336</v>
      </c>
      <c r="J347" s="6">
        <v>46252.84375</v>
      </c>
      <c r="K347" s="1" t="s">
        <v>66</v>
      </c>
      <c r="L347" s="1" t="s">
        <v>37</v>
      </c>
      <c r="M347" s="6">
        <v>46252.833333333336</v>
      </c>
      <c r="N347" s="6">
        <v>46252.936111111114</v>
      </c>
      <c r="O347" s="1">
        <v>0</v>
      </c>
      <c r="P347" s="1"/>
      <c r="Q347" s="5">
        <f t="shared" si="35"/>
        <v>1</v>
      </c>
      <c r="R347" s="5">
        <f t="shared" si="36"/>
        <v>0</v>
      </c>
      <c r="S347" s="5">
        <f t="shared" si="37"/>
        <v>1</v>
      </c>
      <c r="T347" s="5">
        <f t="shared" si="38"/>
        <v>1</v>
      </c>
      <c r="U347" s="5">
        <f t="shared" si="39"/>
        <v>0</v>
      </c>
      <c r="V347" s="5" t="str">
        <f t="shared" si="40"/>
        <v>完工超时</v>
      </c>
      <c r="W347" s="5">
        <f t="shared" si="41"/>
        <v>1</v>
      </c>
    </row>
    <row r="348" spans="1:23" ht="17.25" customHeight="1">
      <c r="A348" s="1" t="s">
        <v>414</v>
      </c>
      <c r="B348" s="1" t="s">
        <v>20</v>
      </c>
      <c r="C348" s="1" t="s">
        <v>25</v>
      </c>
      <c r="D348" s="1" t="s">
        <v>27</v>
      </c>
      <c r="E348" s="6">
        <v>46250.541666666664</v>
      </c>
      <c r="F348" s="6">
        <v>46250.65625</v>
      </c>
      <c r="G348" s="6">
        <v>46251.708333333336</v>
      </c>
      <c r="H348" s="6">
        <v>46251.669444444444</v>
      </c>
      <c r="I348" s="6">
        <v>46251.916666666664</v>
      </c>
      <c r="J348" s="6">
        <v>46251.756249999999</v>
      </c>
      <c r="K348" s="1" t="s">
        <v>66</v>
      </c>
      <c r="L348" s="1" t="s">
        <v>34</v>
      </c>
      <c r="M348" s="6"/>
      <c r="N348" s="6"/>
      <c r="O348" s="1">
        <v>0</v>
      </c>
      <c r="P348" s="1">
        <v>4</v>
      </c>
      <c r="Q348" s="5">
        <f t="shared" si="35"/>
        <v>1</v>
      </c>
      <c r="R348" s="5">
        <f t="shared" si="36"/>
        <v>1</v>
      </c>
      <c r="S348" s="5">
        <f t="shared" si="37"/>
        <v>0</v>
      </c>
      <c r="T348" s="5">
        <f t="shared" si="38"/>
        <v>0</v>
      </c>
      <c r="U348" s="5">
        <f t="shared" si="39"/>
        <v>0</v>
      </c>
      <c r="V348" s="5" t="str">
        <f t="shared" si="40"/>
        <v>无</v>
      </c>
      <c r="W348" s="5">
        <f t="shared" si="41"/>
        <v>1</v>
      </c>
    </row>
    <row r="349" spans="1:23" ht="17.25" customHeight="1">
      <c r="A349" s="1" t="s">
        <v>415</v>
      </c>
      <c r="B349" s="1" t="s">
        <v>21</v>
      </c>
      <c r="C349" s="1" t="s">
        <v>24</v>
      </c>
      <c r="D349" s="1" t="s">
        <v>29</v>
      </c>
      <c r="E349" s="6">
        <v>46250.548611111109</v>
      </c>
      <c r="F349" s="6"/>
      <c r="G349" s="6">
        <v>46252.708333333336</v>
      </c>
      <c r="H349" s="6"/>
      <c r="I349" s="6">
        <v>46252.875</v>
      </c>
      <c r="J349" s="6"/>
      <c r="K349" s="1" t="s">
        <v>73</v>
      </c>
      <c r="L349" s="1" t="s">
        <v>35</v>
      </c>
      <c r="M349" s="6">
        <v>46252.708333333336</v>
      </c>
      <c r="N349" s="6"/>
      <c r="O349" s="1">
        <v>0</v>
      </c>
      <c r="P349" s="1"/>
      <c r="Q349" s="5">
        <f t="shared" si="35"/>
        <v>0</v>
      </c>
      <c r="R349" s="5">
        <f t="shared" si="36"/>
        <v>0</v>
      </c>
      <c r="S349" s="5">
        <f t="shared" si="37"/>
        <v>1</v>
      </c>
      <c r="T349" s="5">
        <f t="shared" si="38"/>
        <v>0</v>
      </c>
      <c r="U349" s="5">
        <f t="shared" si="39"/>
        <v>1</v>
      </c>
      <c r="V349" s="5" t="str">
        <f t="shared" si="40"/>
        <v>派单超时</v>
      </c>
      <c r="W349" s="5">
        <f t="shared" si="41"/>
        <v>1</v>
      </c>
    </row>
    <row r="350" spans="1:23" ht="17.25" customHeight="1">
      <c r="A350" s="1" t="s">
        <v>416</v>
      </c>
      <c r="B350" s="1" t="s">
        <v>22</v>
      </c>
      <c r="C350" s="1" t="s">
        <v>25</v>
      </c>
      <c r="D350" s="1" t="s">
        <v>31</v>
      </c>
      <c r="E350" s="6">
        <v>46250.559027777781</v>
      </c>
      <c r="F350" s="6">
        <v>46250.643750000003</v>
      </c>
      <c r="G350" s="6">
        <v>46251.5</v>
      </c>
      <c r="H350" s="6">
        <v>46251.461805555555</v>
      </c>
      <c r="I350" s="6">
        <v>46251.708333333336</v>
      </c>
      <c r="J350" s="6">
        <v>46251.749305555553</v>
      </c>
      <c r="K350" s="1" t="s">
        <v>66</v>
      </c>
      <c r="L350" s="1" t="s">
        <v>37</v>
      </c>
      <c r="M350" s="6">
        <v>46251.708333333336</v>
      </c>
      <c r="N350" s="6">
        <v>46251.831250000003</v>
      </c>
      <c r="O350" s="1">
        <v>0</v>
      </c>
      <c r="P350" s="1"/>
      <c r="Q350" s="5">
        <f t="shared" si="35"/>
        <v>1</v>
      </c>
      <c r="R350" s="5">
        <f t="shared" si="36"/>
        <v>0</v>
      </c>
      <c r="S350" s="5">
        <f t="shared" si="37"/>
        <v>1</v>
      </c>
      <c r="T350" s="5">
        <f t="shared" si="38"/>
        <v>1</v>
      </c>
      <c r="U350" s="5">
        <f t="shared" si="39"/>
        <v>0</v>
      </c>
      <c r="V350" s="5" t="str">
        <f t="shared" si="40"/>
        <v>完工超时</v>
      </c>
      <c r="W350" s="5">
        <f t="shared" si="41"/>
        <v>1</v>
      </c>
    </row>
    <row r="351" spans="1:23" ht="17.25" customHeight="1">
      <c r="A351" s="1" t="s">
        <v>417</v>
      </c>
      <c r="B351" s="1" t="s">
        <v>22</v>
      </c>
      <c r="C351" s="1" t="s">
        <v>25</v>
      </c>
      <c r="D351" s="1" t="s">
        <v>31</v>
      </c>
      <c r="E351" s="6">
        <v>46250.597222222219</v>
      </c>
      <c r="F351" s="6">
        <v>46250.654861111114</v>
      </c>
      <c r="G351" s="6">
        <v>46252.5</v>
      </c>
      <c r="H351" s="6">
        <v>46252.459027777775</v>
      </c>
      <c r="I351" s="6">
        <v>46252.708333333336</v>
      </c>
      <c r="J351" s="6">
        <v>46252.50277777778</v>
      </c>
      <c r="K351" s="1" t="s">
        <v>66</v>
      </c>
      <c r="L351" s="1" t="s">
        <v>34</v>
      </c>
      <c r="M351" s="6"/>
      <c r="N351" s="6"/>
      <c r="O351" s="1">
        <v>0</v>
      </c>
      <c r="P351" s="1">
        <v>5</v>
      </c>
      <c r="Q351" s="5">
        <f t="shared" si="35"/>
        <v>1</v>
      </c>
      <c r="R351" s="5">
        <f t="shared" si="36"/>
        <v>1</v>
      </c>
      <c r="S351" s="5">
        <f t="shared" si="37"/>
        <v>0</v>
      </c>
      <c r="T351" s="5">
        <f t="shared" si="38"/>
        <v>0</v>
      </c>
      <c r="U351" s="5">
        <f t="shared" si="39"/>
        <v>0</v>
      </c>
      <c r="V351" s="5" t="str">
        <f t="shared" si="40"/>
        <v>无</v>
      </c>
      <c r="W351" s="5">
        <f t="shared" si="41"/>
        <v>1</v>
      </c>
    </row>
    <row r="352" spans="1:23" ht="17.25" customHeight="1">
      <c r="A352" s="1" t="s">
        <v>418</v>
      </c>
      <c r="B352" s="1" t="s">
        <v>21</v>
      </c>
      <c r="C352" s="1" t="s">
        <v>25</v>
      </c>
      <c r="D352" s="1" t="s">
        <v>30</v>
      </c>
      <c r="E352" s="6">
        <v>46250.711805555555</v>
      </c>
      <c r="F352" s="6">
        <v>46250.793749999997</v>
      </c>
      <c r="G352" s="6">
        <v>46251.625</v>
      </c>
      <c r="H352" s="6">
        <v>46251.614583333336</v>
      </c>
      <c r="I352" s="6">
        <v>46251.833333333336</v>
      </c>
      <c r="J352" s="6">
        <v>46251.671527777777</v>
      </c>
      <c r="K352" s="1" t="s">
        <v>66</v>
      </c>
      <c r="L352" s="1" t="s">
        <v>34</v>
      </c>
      <c r="M352" s="6"/>
      <c r="N352" s="6"/>
      <c r="O352" s="1">
        <v>1</v>
      </c>
      <c r="P352" s="1"/>
      <c r="Q352" s="5">
        <f t="shared" si="35"/>
        <v>1</v>
      </c>
      <c r="R352" s="5">
        <f t="shared" si="36"/>
        <v>1</v>
      </c>
      <c r="S352" s="5">
        <f t="shared" si="37"/>
        <v>0</v>
      </c>
      <c r="T352" s="5">
        <f t="shared" si="38"/>
        <v>0</v>
      </c>
      <c r="U352" s="5">
        <f t="shared" si="39"/>
        <v>0</v>
      </c>
      <c r="V352" s="5" t="str">
        <f t="shared" si="40"/>
        <v>无</v>
      </c>
      <c r="W352" s="5">
        <f t="shared" si="41"/>
        <v>1</v>
      </c>
    </row>
    <row r="353" spans="1:23" ht="17.25" customHeight="1">
      <c r="A353" s="1" t="s">
        <v>419</v>
      </c>
      <c r="B353" s="1" t="s">
        <v>20</v>
      </c>
      <c r="C353" s="1" t="s">
        <v>24</v>
      </c>
      <c r="D353" s="1" t="s">
        <v>28</v>
      </c>
      <c r="E353" s="6">
        <v>46250.732638888891</v>
      </c>
      <c r="F353" s="6">
        <v>46250.777083333334</v>
      </c>
      <c r="G353" s="6">
        <v>46251.5</v>
      </c>
      <c r="H353" s="6">
        <v>46251.547222222223</v>
      </c>
      <c r="I353" s="6">
        <v>46251.666666666664</v>
      </c>
      <c r="J353" s="6">
        <v>46251.595138888886</v>
      </c>
      <c r="K353" s="1" t="s">
        <v>66</v>
      </c>
      <c r="L353" s="1" t="s">
        <v>36</v>
      </c>
      <c r="M353" s="6">
        <v>46251.5</v>
      </c>
      <c r="N353" s="6">
        <v>46251.756249999999</v>
      </c>
      <c r="O353" s="1">
        <v>0</v>
      </c>
      <c r="P353" s="1">
        <v>2</v>
      </c>
      <c r="Q353" s="5">
        <f t="shared" si="35"/>
        <v>0</v>
      </c>
      <c r="R353" s="5">
        <f t="shared" si="36"/>
        <v>1</v>
      </c>
      <c r="S353" s="5">
        <f t="shared" si="37"/>
        <v>1</v>
      </c>
      <c r="T353" s="5">
        <f t="shared" si="38"/>
        <v>1</v>
      </c>
      <c r="U353" s="5">
        <f t="shared" si="39"/>
        <v>0</v>
      </c>
      <c r="V353" s="5" t="str">
        <f t="shared" si="40"/>
        <v>上门超时</v>
      </c>
      <c r="W353" s="5">
        <f t="shared" si="41"/>
        <v>1</v>
      </c>
    </row>
    <row r="354" spans="1:23" ht="17.25" customHeight="1">
      <c r="A354" s="1" t="s">
        <v>420</v>
      </c>
      <c r="B354" s="1" t="s">
        <v>22</v>
      </c>
      <c r="C354" s="1" t="s">
        <v>25</v>
      </c>
      <c r="D354" s="1" t="s">
        <v>31</v>
      </c>
      <c r="E354" s="6">
        <v>46250.739583333336</v>
      </c>
      <c r="F354" s="6">
        <v>46250.872916666667</v>
      </c>
      <c r="G354" s="6">
        <v>46252.416666666664</v>
      </c>
      <c r="H354" s="6">
        <v>46252.370833333334</v>
      </c>
      <c r="I354" s="6">
        <v>46252.625</v>
      </c>
      <c r="J354" s="6">
        <v>46252.451388888891</v>
      </c>
      <c r="K354" s="1" t="s">
        <v>66</v>
      </c>
      <c r="L354" s="1" t="s">
        <v>34</v>
      </c>
      <c r="M354" s="6"/>
      <c r="N354" s="6"/>
      <c r="O354" s="1">
        <v>0</v>
      </c>
      <c r="P354" s="1">
        <v>4</v>
      </c>
      <c r="Q354" s="5">
        <f t="shared" si="35"/>
        <v>1</v>
      </c>
      <c r="R354" s="5">
        <f t="shared" si="36"/>
        <v>1</v>
      </c>
      <c r="S354" s="5">
        <f t="shared" si="37"/>
        <v>0</v>
      </c>
      <c r="T354" s="5">
        <f t="shared" si="38"/>
        <v>0</v>
      </c>
      <c r="U354" s="5">
        <f t="shared" si="39"/>
        <v>0</v>
      </c>
      <c r="V354" s="5" t="str">
        <f t="shared" si="40"/>
        <v>无</v>
      </c>
      <c r="W354" s="5">
        <f t="shared" si="41"/>
        <v>1</v>
      </c>
    </row>
    <row r="355" spans="1:23" ht="17.25" customHeight="1">
      <c r="A355" s="1" t="s">
        <v>421</v>
      </c>
      <c r="B355" s="1" t="s">
        <v>21</v>
      </c>
      <c r="C355" s="1" t="s">
        <v>25</v>
      </c>
      <c r="D355" s="1" t="s">
        <v>30</v>
      </c>
      <c r="E355" s="6">
        <v>46250.739583333336</v>
      </c>
      <c r="F355" s="6">
        <v>46250.899305555555</v>
      </c>
      <c r="G355" s="6">
        <v>46251.708333333336</v>
      </c>
      <c r="H355" s="6">
        <v>46251.727777777778</v>
      </c>
      <c r="I355" s="6">
        <v>46251.916666666664</v>
      </c>
      <c r="J355" s="6">
        <v>46251.80972222222</v>
      </c>
      <c r="K355" s="1" t="s">
        <v>66</v>
      </c>
      <c r="L355" s="1" t="s">
        <v>36</v>
      </c>
      <c r="M355" s="6">
        <v>46251.708333333336</v>
      </c>
      <c r="N355" s="6">
        <v>46251.915277777778</v>
      </c>
      <c r="O355" s="1">
        <v>0</v>
      </c>
      <c r="P355" s="1">
        <v>3</v>
      </c>
      <c r="Q355" s="5">
        <f t="shared" si="35"/>
        <v>0</v>
      </c>
      <c r="R355" s="5">
        <f t="shared" si="36"/>
        <v>1</v>
      </c>
      <c r="S355" s="5">
        <f t="shared" si="37"/>
        <v>1</v>
      </c>
      <c r="T355" s="5">
        <f t="shared" si="38"/>
        <v>1</v>
      </c>
      <c r="U355" s="5">
        <f t="shared" si="39"/>
        <v>0</v>
      </c>
      <c r="V355" s="5" t="str">
        <f t="shared" si="40"/>
        <v>上门超时</v>
      </c>
      <c r="W355" s="5">
        <f t="shared" si="41"/>
        <v>1</v>
      </c>
    </row>
    <row r="356" spans="1:23" ht="17.25" customHeight="1">
      <c r="A356" s="1" t="s">
        <v>422</v>
      </c>
      <c r="B356" s="1" t="s">
        <v>20</v>
      </c>
      <c r="C356" s="1" t="s">
        <v>24</v>
      </c>
      <c r="D356" s="1" t="s">
        <v>27</v>
      </c>
      <c r="E356" s="6">
        <v>46250.743055555555</v>
      </c>
      <c r="F356" s="6">
        <v>46250.822916666664</v>
      </c>
      <c r="G356" s="6">
        <v>46252.625</v>
      </c>
      <c r="H356" s="6">
        <v>46252.584027777775</v>
      </c>
      <c r="I356" s="6">
        <v>46252.791666666664</v>
      </c>
      <c r="J356" s="6">
        <v>46252.684027777781</v>
      </c>
      <c r="K356" s="1" t="s">
        <v>66</v>
      </c>
      <c r="L356" s="1" t="s">
        <v>34</v>
      </c>
      <c r="M356" s="6"/>
      <c r="N356" s="6"/>
      <c r="O356" s="1">
        <v>0</v>
      </c>
      <c r="P356" s="1">
        <v>4</v>
      </c>
      <c r="Q356" s="5">
        <f t="shared" si="35"/>
        <v>1</v>
      </c>
      <c r="R356" s="5">
        <f t="shared" si="36"/>
        <v>1</v>
      </c>
      <c r="S356" s="5">
        <f t="shared" si="37"/>
        <v>0</v>
      </c>
      <c r="T356" s="5">
        <f t="shared" si="38"/>
        <v>0</v>
      </c>
      <c r="U356" s="5">
        <f t="shared" si="39"/>
        <v>0</v>
      </c>
      <c r="V356" s="5" t="str">
        <f t="shared" si="40"/>
        <v>无</v>
      </c>
      <c r="W356" s="5">
        <f t="shared" si="41"/>
        <v>1</v>
      </c>
    </row>
    <row r="357" spans="1:23" ht="17.25" customHeight="1">
      <c r="A357" s="1" t="s">
        <v>423</v>
      </c>
      <c r="B357" s="1" t="s">
        <v>20</v>
      </c>
      <c r="C357" s="1" t="s">
        <v>24</v>
      </c>
      <c r="D357" s="1" t="s">
        <v>27</v>
      </c>
      <c r="E357" s="6">
        <v>46250.760416666664</v>
      </c>
      <c r="F357" s="6">
        <v>46250.897222222222</v>
      </c>
      <c r="G357" s="6">
        <v>46251.625</v>
      </c>
      <c r="H357" s="6">
        <v>46251.587500000001</v>
      </c>
      <c r="I357" s="6">
        <v>46251.791666666664</v>
      </c>
      <c r="J357" s="6">
        <v>46251.640972222223</v>
      </c>
      <c r="K357" s="1" t="s">
        <v>66</v>
      </c>
      <c r="L357" s="1" t="s">
        <v>34</v>
      </c>
      <c r="M357" s="6"/>
      <c r="N357" s="6"/>
      <c r="O357" s="1">
        <v>0</v>
      </c>
      <c r="P357" s="1">
        <v>5</v>
      </c>
      <c r="Q357" s="5">
        <f t="shared" si="35"/>
        <v>1</v>
      </c>
      <c r="R357" s="5">
        <f t="shared" si="36"/>
        <v>1</v>
      </c>
      <c r="S357" s="5">
        <f t="shared" si="37"/>
        <v>0</v>
      </c>
      <c r="T357" s="5">
        <f t="shared" si="38"/>
        <v>0</v>
      </c>
      <c r="U357" s="5">
        <f t="shared" si="39"/>
        <v>0</v>
      </c>
      <c r="V357" s="5" t="str">
        <f t="shared" si="40"/>
        <v>无</v>
      </c>
      <c r="W357" s="5">
        <f t="shared" si="41"/>
        <v>1</v>
      </c>
    </row>
    <row r="358" spans="1:23" ht="17.25" customHeight="1">
      <c r="A358" s="1" t="s">
        <v>424</v>
      </c>
      <c r="B358" s="1" t="s">
        <v>21</v>
      </c>
      <c r="C358" s="1" t="s">
        <v>25</v>
      </c>
      <c r="D358" s="1" t="s">
        <v>30</v>
      </c>
      <c r="E358" s="6">
        <v>46250.763888888891</v>
      </c>
      <c r="F358" s="6">
        <v>46250.918749999997</v>
      </c>
      <c r="G358" s="6">
        <v>46252.5</v>
      </c>
      <c r="H358" s="6">
        <v>46252.47152777778</v>
      </c>
      <c r="I358" s="6">
        <v>46252.708333333336</v>
      </c>
      <c r="J358" s="6">
        <v>46252.573611111111</v>
      </c>
      <c r="K358" s="1" t="s">
        <v>66</v>
      </c>
      <c r="L358" s="1" t="s">
        <v>34</v>
      </c>
      <c r="M358" s="6"/>
      <c r="N358" s="6"/>
      <c r="O358" s="1">
        <v>0</v>
      </c>
      <c r="P358" s="1"/>
      <c r="Q358" s="5">
        <f t="shared" si="35"/>
        <v>1</v>
      </c>
      <c r="R358" s="5">
        <f t="shared" si="36"/>
        <v>1</v>
      </c>
      <c r="S358" s="5">
        <f t="shared" si="37"/>
        <v>0</v>
      </c>
      <c r="T358" s="5">
        <f t="shared" si="38"/>
        <v>0</v>
      </c>
      <c r="U358" s="5">
        <f t="shared" si="39"/>
        <v>0</v>
      </c>
      <c r="V358" s="5" t="str">
        <f t="shared" si="40"/>
        <v>无</v>
      </c>
      <c r="W358" s="5">
        <f t="shared" si="41"/>
        <v>1</v>
      </c>
    </row>
    <row r="359" spans="1:23" ht="17.25" customHeight="1">
      <c r="A359" s="1" t="s">
        <v>425</v>
      </c>
      <c r="B359" s="1" t="s">
        <v>22</v>
      </c>
      <c r="C359" s="1" t="s">
        <v>24</v>
      </c>
      <c r="D359" s="1" t="s">
        <v>31</v>
      </c>
      <c r="E359" s="6">
        <v>46250.788194444445</v>
      </c>
      <c r="F359" s="6">
        <v>46251.757638888892</v>
      </c>
      <c r="G359" s="6">
        <v>46251.708333333336</v>
      </c>
      <c r="H359" s="6">
        <v>46251.839583333334</v>
      </c>
      <c r="I359" s="6">
        <v>46251.875</v>
      </c>
      <c r="J359" s="6">
        <v>46251.881944444445</v>
      </c>
      <c r="K359" s="1" t="s">
        <v>66</v>
      </c>
      <c r="L359" s="1" t="s">
        <v>35</v>
      </c>
      <c r="M359" s="6">
        <v>46251.708333333336</v>
      </c>
      <c r="N359" s="6">
        <v>46251.923611111109</v>
      </c>
      <c r="O359" s="1">
        <v>0</v>
      </c>
      <c r="P359" s="1">
        <v>4</v>
      </c>
      <c r="Q359" s="5">
        <f t="shared" si="35"/>
        <v>0</v>
      </c>
      <c r="R359" s="5">
        <f t="shared" si="36"/>
        <v>0</v>
      </c>
      <c r="S359" s="5">
        <f t="shared" si="37"/>
        <v>1</v>
      </c>
      <c r="T359" s="5">
        <f t="shared" si="38"/>
        <v>1</v>
      </c>
      <c r="U359" s="5">
        <f t="shared" si="39"/>
        <v>0</v>
      </c>
      <c r="V359" s="5" t="str">
        <f t="shared" si="40"/>
        <v>派单超时</v>
      </c>
      <c r="W359" s="5">
        <f t="shared" si="41"/>
        <v>1</v>
      </c>
    </row>
    <row r="360" spans="1:23" ht="17.25" customHeight="1">
      <c r="A360" s="1" t="s">
        <v>426</v>
      </c>
      <c r="B360" s="1" t="s">
        <v>21</v>
      </c>
      <c r="C360" s="1" t="s">
        <v>26</v>
      </c>
      <c r="D360" s="1" t="s">
        <v>29</v>
      </c>
      <c r="E360" s="6">
        <v>46251.371527777781</v>
      </c>
      <c r="F360" s="6">
        <v>46251.447222222225</v>
      </c>
      <c r="G360" s="6">
        <v>46254.416666666664</v>
      </c>
      <c r="H360" s="6">
        <v>46254.369444444441</v>
      </c>
      <c r="I360" s="6">
        <v>46254.541666666664</v>
      </c>
      <c r="J360" s="6">
        <v>46254.434027777781</v>
      </c>
      <c r="K360" s="1" t="s">
        <v>66</v>
      </c>
      <c r="L360" s="1" t="s">
        <v>34</v>
      </c>
      <c r="M360" s="6"/>
      <c r="N360" s="6"/>
      <c r="O360" s="1">
        <v>0</v>
      </c>
      <c r="P360" s="1">
        <v>5</v>
      </c>
      <c r="Q360" s="5">
        <f t="shared" si="35"/>
        <v>1</v>
      </c>
      <c r="R360" s="5">
        <f t="shared" si="36"/>
        <v>1</v>
      </c>
      <c r="S360" s="5">
        <f t="shared" si="37"/>
        <v>0</v>
      </c>
      <c r="T360" s="5">
        <f t="shared" si="38"/>
        <v>0</v>
      </c>
      <c r="U360" s="5">
        <f t="shared" si="39"/>
        <v>0</v>
      </c>
      <c r="V360" s="5" t="str">
        <f t="shared" si="40"/>
        <v>无</v>
      </c>
      <c r="W360" s="5">
        <f t="shared" si="41"/>
        <v>1</v>
      </c>
    </row>
    <row r="361" spans="1:23" ht="17.25" customHeight="1">
      <c r="A361" s="1" t="s">
        <v>427</v>
      </c>
      <c r="B361" s="1" t="s">
        <v>21</v>
      </c>
      <c r="C361" s="1" t="s">
        <v>25</v>
      </c>
      <c r="D361" s="1" t="s">
        <v>30</v>
      </c>
      <c r="E361" s="6">
        <v>46251.371527777781</v>
      </c>
      <c r="F361" s="6">
        <v>46251.484027777777</v>
      </c>
      <c r="G361" s="6">
        <v>46252.416666666664</v>
      </c>
      <c r="H361" s="6">
        <v>46252.394444444442</v>
      </c>
      <c r="I361" s="6">
        <v>46252.625</v>
      </c>
      <c r="J361" s="6">
        <v>46252.477777777778</v>
      </c>
      <c r="K361" s="1" t="s">
        <v>66</v>
      </c>
      <c r="L361" s="1" t="s">
        <v>34</v>
      </c>
      <c r="M361" s="6"/>
      <c r="N361" s="6"/>
      <c r="O361" s="1">
        <v>0</v>
      </c>
      <c r="P361" s="1">
        <v>3</v>
      </c>
      <c r="Q361" s="5">
        <f t="shared" si="35"/>
        <v>1</v>
      </c>
      <c r="R361" s="5">
        <f t="shared" si="36"/>
        <v>1</v>
      </c>
      <c r="S361" s="5">
        <f t="shared" si="37"/>
        <v>0</v>
      </c>
      <c r="T361" s="5">
        <f t="shared" si="38"/>
        <v>0</v>
      </c>
      <c r="U361" s="5">
        <f t="shared" si="39"/>
        <v>0</v>
      </c>
      <c r="V361" s="5" t="str">
        <f t="shared" si="40"/>
        <v>无</v>
      </c>
      <c r="W361" s="5">
        <f t="shared" si="41"/>
        <v>1</v>
      </c>
    </row>
    <row r="362" spans="1:23" ht="17.25" customHeight="1">
      <c r="A362" s="1" t="s">
        <v>428</v>
      </c>
      <c r="B362" s="1" t="s">
        <v>21</v>
      </c>
      <c r="C362" s="1" t="s">
        <v>24</v>
      </c>
      <c r="D362" s="1" t="s">
        <v>30</v>
      </c>
      <c r="E362" s="6">
        <v>46251.392361111109</v>
      </c>
      <c r="F362" s="6">
        <v>46251.517361111109</v>
      </c>
      <c r="G362" s="6">
        <v>46253.708333333336</v>
      </c>
      <c r="H362" s="6">
        <v>46253.667361111111</v>
      </c>
      <c r="I362" s="6">
        <v>46253.875</v>
      </c>
      <c r="J362" s="6">
        <v>46253.978472222225</v>
      </c>
      <c r="K362" s="1" t="s">
        <v>66</v>
      </c>
      <c r="L362" s="1" t="s">
        <v>37</v>
      </c>
      <c r="M362" s="6">
        <v>46253.875</v>
      </c>
      <c r="N362" s="6"/>
      <c r="O362" s="1">
        <v>0</v>
      </c>
      <c r="P362" s="1">
        <v>3</v>
      </c>
      <c r="Q362" s="5">
        <f t="shared" si="35"/>
        <v>1</v>
      </c>
      <c r="R362" s="5">
        <f t="shared" si="36"/>
        <v>0</v>
      </c>
      <c r="S362" s="5">
        <f t="shared" si="37"/>
        <v>1</v>
      </c>
      <c r="T362" s="5">
        <f t="shared" si="38"/>
        <v>0</v>
      </c>
      <c r="U362" s="5">
        <f t="shared" si="39"/>
        <v>1</v>
      </c>
      <c r="V362" s="5" t="str">
        <f t="shared" si="40"/>
        <v>完工超时</v>
      </c>
      <c r="W362" s="5">
        <f t="shared" si="41"/>
        <v>1</v>
      </c>
    </row>
    <row r="363" spans="1:23" ht="17.25" customHeight="1">
      <c r="A363" s="1" t="s">
        <v>429</v>
      </c>
      <c r="B363" s="1" t="s">
        <v>21</v>
      </c>
      <c r="C363" s="1" t="s">
        <v>25</v>
      </c>
      <c r="D363" s="1" t="s">
        <v>30</v>
      </c>
      <c r="E363" s="6">
        <v>46251.447916666664</v>
      </c>
      <c r="F363" s="6">
        <v>46251.527083333334</v>
      </c>
      <c r="G363" s="6">
        <v>46253.416666666664</v>
      </c>
      <c r="H363" s="6">
        <v>46253.388888888891</v>
      </c>
      <c r="I363" s="6">
        <v>46253.625</v>
      </c>
      <c r="J363" s="6">
        <v>46253.461805555555</v>
      </c>
      <c r="K363" s="1" t="s">
        <v>66</v>
      </c>
      <c r="L363" s="1" t="s">
        <v>34</v>
      </c>
      <c r="M363" s="6"/>
      <c r="N363" s="6"/>
      <c r="O363" s="1">
        <v>0</v>
      </c>
      <c r="P363" s="1">
        <v>5</v>
      </c>
      <c r="Q363" s="5">
        <f t="shared" si="35"/>
        <v>1</v>
      </c>
      <c r="R363" s="5">
        <f t="shared" si="36"/>
        <v>1</v>
      </c>
      <c r="S363" s="5">
        <f t="shared" si="37"/>
        <v>0</v>
      </c>
      <c r="T363" s="5">
        <f t="shared" si="38"/>
        <v>0</v>
      </c>
      <c r="U363" s="5">
        <f t="shared" si="39"/>
        <v>0</v>
      </c>
      <c r="V363" s="5" t="str">
        <f t="shared" si="40"/>
        <v>无</v>
      </c>
      <c r="W363" s="5">
        <f t="shared" si="41"/>
        <v>1</v>
      </c>
    </row>
    <row r="364" spans="1:23" ht="17.25" customHeight="1">
      <c r="A364" s="1" t="s">
        <v>430</v>
      </c>
      <c r="B364" s="1" t="s">
        <v>20</v>
      </c>
      <c r="C364" s="1" t="s">
        <v>25</v>
      </c>
      <c r="D364" s="1" t="s">
        <v>28</v>
      </c>
      <c r="E364" s="6">
        <v>46251.472222222219</v>
      </c>
      <c r="F364" s="6">
        <v>46251.574999999997</v>
      </c>
      <c r="G364" s="6">
        <v>46254.5</v>
      </c>
      <c r="H364" s="6">
        <v>46254.47152777778</v>
      </c>
      <c r="I364" s="6">
        <v>46254.708333333336</v>
      </c>
      <c r="J364" s="6">
        <v>46254.549305555556</v>
      </c>
      <c r="K364" s="1" t="s">
        <v>66</v>
      </c>
      <c r="L364" s="1" t="s">
        <v>34</v>
      </c>
      <c r="M364" s="6"/>
      <c r="N364" s="6"/>
      <c r="O364" s="1">
        <v>0</v>
      </c>
      <c r="P364" s="1">
        <v>5</v>
      </c>
      <c r="Q364" s="5">
        <f t="shared" si="35"/>
        <v>1</v>
      </c>
      <c r="R364" s="5">
        <f t="shared" si="36"/>
        <v>1</v>
      </c>
      <c r="S364" s="5">
        <f t="shared" si="37"/>
        <v>0</v>
      </c>
      <c r="T364" s="5">
        <f t="shared" si="38"/>
        <v>0</v>
      </c>
      <c r="U364" s="5">
        <f t="shared" si="39"/>
        <v>0</v>
      </c>
      <c r="V364" s="5" t="str">
        <f t="shared" si="40"/>
        <v>无</v>
      </c>
      <c r="W364" s="5">
        <f t="shared" si="41"/>
        <v>1</v>
      </c>
    </row>
    <row r="365" spans="1:23" ht="17.25" customHeight="1">
      <c r="A365" s="1" t="s">
        <v>431</v>
      </c>
      <c r="B365" s="1" t="s">
        <v>21</v>
      </c>
      <c r="C365" s="1" t="s">
        <v>24</v>
      </c>
      <c r="D365" s="1" t="s">
        <v>29</v>
      </c>
      <c r="E365" s="6">
        <v>46251.5</v>
      </c>
      <c r="F365" s="6">
        <v>46251.607638888891</v>
      </c>
      <c r="G365" s="6">
        <v>46252.5</v>
      </c>
      <c r="H365" s="6">
        <v>46252.472222222219</v>
      </c>
      <c r="I365" s="6">
        <v>46252.666666666664</v>
      </c>
      <c r="J365" s="6">
        <v>46252.573611111111</v>
      </c>
      <c r="K365" s="1" t="s">
        <v>66</v>
      </c>
      <c r="L365" s="1" t="s">
        <v>34</v>
      </c>
      <c r="M365" s="6"/>
      <c r="N365" s="6"/>
      <c r="O365" s="1">
        <v>0</v>
      </c>
      <c r="P365" s="1">
        <v>4</v>
      </c>
      <c r="Q365" s="5">
        <f t="shared" si="35"/>
        <v>1</v>
      </c>
      <c r="R365" s="5">
        <f t="shared" si="36"/>
        <v>1</v>
      </c>
      <c r="S365" s="5">
        <f t="shared" si="37"/>
        <v>0</v>
      </c>
      <c r="T365" s="5">
        <f t="shared" si="38"/>
        <v>0</v>
      </c>
      <c r="U365" s="5">
        <f t="shared" si="39"/>
        <v>0</v>
      </c>
      <c r="V365" s="5" t="str">
        <f t="shared" si="40"/>
        <v>无</v>
      </c>
      <c r="W365" s="5">
        <f t="shared" si="41"/>
        <v>1</v>
      </c>
    </row>
    <row r="366" spans="1:23" ht="17.25" customHeight="1">
      <c r="A366" s="1" t="s">
        <v>432</v>
      </c>
      <c r="B366" s="1" t="s">
        <v>21</v>
      </c>
      <c r="C366" s="1" t="s">
        <v>25</v>
      </c>
      <c r="D366" s="1" t="s">
        <v>30</v>
      </c>
      <c r="E366" s="6">
        <v>46251.527777777781</v>
      </c>
      <c r="F366" s="6">
        <v>46251.655555555553</v>
      </c>
      <c r="G366" s="6">
        <v>46252.5</v>
      </c>
      <c r="H366" s="6">
        <v>46252.529166666667</v>
      </c>
      <c r="I366" s="6">
        <v>46252.708333333336</v>
      </c>
      <c r="J366" s="6">
        <v>46252.579861111109</v>
      </c>
      <c r="K366" s="1" t="s">
        <v>66</v>
      </c>
      <c r="L366" s="1" t="s">
        <v>36</v>
      </c>
      <c r="M366" s="6">
        <v>46252.5</v>
      </c>
      <c r="N366" s="6">
        <v>46252.775000000001</v>
      </c>
      <c r="O366" s="1">
        <v>0</v>
      </c>
      <c r="P366" s="1">
        <v>2</v>
      </c>
      <c r="Q366" s="5">
        <f t="shared" si="35"/>
        <v>0</v>
      </c>
      <c r="R366" s="5">
        <f t="shared" si="36"/>
        <v>1</v>
      </c>
      <c r="S366" s="5">
        <f t="shared" si="37"/>
        <v>1</v>
      </c>
      <c r="T366" s="5">
        <f t="shared" si="38"/>
        <v>1</v>
      </c>
      <c r="U366" s="5">
        <f t="shared" si="39"/>
        <v>0</v>
      </c>
      <c r="V366" s="5" t="str">
        <f t="shared" si="40"/>
        <v>上门超时</v>
      </c>
      <c r="W366" s="5">
        <f t="shared" si="41"/>
        <v>1</v>
      </c>
    </row>
    <row r="367" spans="1:23" ht="17.25" customHeight="1">
      <c r="A367" s="1" t="s">
        <v>433</v>
      </c>
      <c r="B367" s="1" t="s">
        <v>22</v>
      </c>
      <c r="C367" s="1" t="s">
        <v>25</v>
      </c>
      <c r="D367" s="1" t="s">
        <v>32</v>
      </c>
      <c r="E367" s="6">
        <v>46251.534722222219</v>
      </c>
      <c r="F367" s="6">
        <v>46251.684027777781</v>
      </c>
      <c r="G367" s="6">
        <v>46253.708333333336</v>
      </c>
      <c r="H367" s="6">
        <v>46253.661805555559</v>
      </c>
      <c r="I367" s="6">
        <v>46253.916666666664</v>
      </c>
      <c r="J367" s="6">
        <v>46253.758333333331</v>
      </c>
      <c r="K367" s="1" t="s">
        <v>66</v>
      </c>
      <c r="L367" s="1" t="s">
        <v>34</v>
      </c>
      <c r="M367" s="6"/>
      <c r="N367" s="6"/>
      <c r="O367" s="1">
        <v>0</v>
      </c>
      <c r="P367" s="1">
        <v>4</v>
      </c>
      <c r="Q367" s="5">
        <f t="shared" si="35"/>
        <v>1</v>
      </c>
      <c r="R367" s="5">
        <f t="shared" si="36"/>
        <v>1</v>
      </c>
      <c r="S367" s="5">
        <f t="shared" si="37"/>
        <v>0</v>
      </c>
      <c r="T367" s="5">
        <f t="shared" si="38"/>
        <v>0</v>
      </c>
      <c r="U367" s="5">
        <f t="shared" si="39"/>
        <v>0</v>
      </c>
      <c r="V367" s="5" t="str">
        <f t="shared" si="40"/>
        <v>无</v>
      </c>
      <c r="W367" s="5">
        <f t="shared" si="41"/>
        <v>1</v>
      </c>
    </row>
    <row r="368" spans="1:23" ht="17.25" customHeight="1">
      <c r="A368" s="1" t="s">
        <v>434</v>
      </c>
      <c r="B368" s="1" t="s">
        <v>20</v>
      </c>
      <c r="C368" s="1" t="s">
        <v>24</v>
      </c>
      <c r="D368" s="1" t="s">
        <v>27</v>
      </c>
      <c r="E368" s="6">
        <v>46251.555555555555</v>
      </c>
      <c r="F368" s="6">
        <v>46252.472222222219</v>
      </c>
      <c r="G368" s="6">
        <v>46252.416666666664</v>
      </c>
      <c r="H368" s="6">
        <v>46252.520833333336</v>
      </c>
      <c r="I368" s="6">
        <v>46252.583333333336</v>
      </c>
      <c r="J368" s="6">
        <v>46252.559027777781</v>
      </c>
      <c r="K368" s="1" t="s">
        <v>66</v>
      </c>
      <c r="L368" s="1" t="s">
        <v>35</v>
      </c>
      <c r="M368" s="6">
        <v>46252.416666666664</v>
      </c>
      <c r="N368" s="6">
        <v>46252.79583333333</v>
      </c>
      <c r="O368" s="1">
        <v>1</v>
      </c>
      <c r="P368" s="1">
        <v>1</v>
      </c>
      <c r="Q368" s="5">
        <f t="shared" si="35"/>
        <v>0</v>
      </c>
      <c r="R368" s="5">
        <f t="shared" si="36"/>
        <v>1</v>
      </c>
      <c r="S368" s="5">
        <f t="shared" si="37"/>
        <v>1</v>
      </c>
      <c r="T368" s="5">
        <f t="shared" si="38"/>
        <v>1</v>
      </c>
      <c r="U368" s="5">
        <f t="shared" si="39"/>
        <v>0</v>
      </c>
      <c r="V368" s="5" t="str">
        <f t="shared" si="40"/>
        <v>派单超时</v>
      </c>
      <c r="W368" s="5">
        <f t="shared" si="41"/>
        <v>1</v>
      </c>
    </row>
    <row r="369" spans="1:23" ht="17.25" customHeight="1">
      <c r="A369" s="1" t="s">
        <v>435</v>
      </c>
      <c r="B369" s="1" t="s">
        <v>20</v>
      </c>
      <c r="C369" s="1" t="s">
        <v>24</v>
      </c>
      <c r="D369" s="1" t="s">
        <v>27</v>
      </c>
      <c r="E369" s="6">
        <v>46251.583333333336</v>
      </c>
      <c r="F369" s="6">
        <v>46251.65902777778</v>
      </c>
      <c r="G369" s="6">
        <v>46252.5</v>
      </c>
      <c r="H369" s="6">
        <v>46252.481249999997</v>
      </c>
      <c r="I369" s="6">
        <v>46252.666666666664</v>
      </c>
      <c r="J369" s="6">
        <v>46252.552083333336</v>
      </c>
      <c r="K369" s="1" t="s">
        <v>66</v>
      </c>
      <c r="L369" s="1" t="s">
        <v>34</v>
      </c>
      <c r="M369" s="6"/>
      <c r="N369" s="6"/>
      <c r="O369" s="1">
        <v>0</v>
      </c>
      <c r="P369" s="1">
        <v>5</v>
      </c>
      <c r="Q369" s="5">
        <f t="shared" si="35"/>
        <v>1</v>
      </c>
      <c r="R369" s="5">
        <f t="shared" si="36"/>
        <v>1</v>
      </c>
      <c r="S369" s="5">
        <f t="shared" si="37"/>
        <v>0</v>
      </c>
      <c r="T369" s="5">
        <f t="shared" si="38"/>
        <v>0</v>
      </c>
      <c r="U369" s="5">
        <f t="shared" si="39"/>
        <v>0</v>
      </c>
      <c r="V369" s="5" t="str">
        <f t="shared" si="40"/>
        <v>无</v>
      </c>
      <c r="W369" s="5">
        <f t="shared" si="41"/>
        <v>1</v>
      </c>
    </row>
    <row r="370" spans="1:23" ht="17.25" customHeight="1">
      <c r="A370" s="1" t="s">
        <v>436</v>
      </c>
      <c r="B370" s="1" t="s">
        <v>21</v>
      </c>
      <c r="C370" s="1" t="s">
        <v>24</v>
      </c>
      <c r="D370" s="1" t="s">
        <v>29</v>
      </c>
      <c r="E370" s="6">
        <v>46251.59375</v>
      </c>
      <c r="F370" s="6">
        <v>46251.632638888892</v>
      </c>
      <c r="G370" s="6">
        <v>46252.708333333336</v>
      </c>
      <c r="H370" s="6">
        <v>46252.681250000001</v>
      </c>
      <c r="I370" s="6">
        <v>46252.875</v>
      </c>
      <c r="J370" s="6">
        <v>46252.769444444442</v>
      </c>
      <c r="K370" s="1" t="s">
        <v>66</v>
      </c>
      <c r="L370" s="1" t="s">
        <v>34</v>
      </c>
      <c r="M370" s="6"/>
      <c r="N370" s="6"/>
      <c r="O370" s="1">
        <v>0</v>
      </c>
      <c r="P370" s="1"/>
      <c r="Q370" s="5">
        <f t="shared" si="35"/>
        <v>1</v>
      </c>
      <c r="R370" s="5">
        <f t="shared" si="36"/>
        <v>1</v>
      </c>
      <c r="S370" s="5">
        <f t="shared" si="37"/>
        <v>0</v>
      </c>
      <c r="T370" s="5">
        <f t="shared" si="38"/>
        <v>0</v>
      </c>
      <c r="U370" s="5">
        <f t="shared" si="39"/>
        <v>0</v>
      </c>
      <c r="V370" s="5" t="str">
        <f t="shared" si="40"/>
        <v>无</v>
      </c>
      <c r="W370" s="5">
        <f t="shared" si="41"/>
        <v>1</v>
      </c>
    </row>
    <row r="371" spans="1:23" ht="17.25" customHeight="1">
      <c r="A371" s="1" t="s">
        <v>437</v>
      </c>
      <c r="B371" s="1" t="s">
        <v>22</v>
      </c>
      <c r="C371" s="1" t="s">
        <v>25</v>
      </c>
      <c r="D371" s="1" t="s">
        <v>32</v>
      </c>
      <c r="E371" s="6">
        <v>46251.597222222219</v>
      </c>
      <c r="F371" s="6">
        <v>46251.625694444447</v>
      </c>
      <c r="G371" s="6">
        <v>46254.708333333336</v>
      </c>
      <c r="H371" s="6">
        <v>46254.7</v>
      </c>
      <c r="I371" s="6">
        <v>46254.916666666664</v>
      </c>
      <c r="J371" s="6">
        <v>46254.771527777775</v>
      </c>
      <c r="K371" s="1" t="s">
        <v>66</v>
      </c>
      <c r="L371" s="1" t="s">
        <v>34</v>
      </c>
      <c r="M371" s="6"/>
      <c r="N371" s="6"/>
      <c r="O371" s="1">
        <v>0</v>
      </c>
      <c r="P371" s="1">
        <v>5</v>
      </c>
      <c r="Q371" s="5">
        <f t="shared" si="35"/>
        <v>1</v>
      </c>
      <c r="R371" s="5">
        <f t="shared" si="36"/>
        <v>1</v>
      </c>
      <c r="S371" s="5">
        <f t="shared" si="37"/>
        <v>0</v>
      </c>
      <c r="T371" s="5">
        <f t="shared" si="38"/>
        <v>0</v>
      </c>
      <c r="U371" s="5">
        <f t="shared" si="39"/>
        <v>0</v>
      </c>
      <c r="V371" s="5" t="str">
        <f t="shared" si="40"/>
        <v>无</v>
      </c>
      <c r="W371" s="5">
        <f t="shared" si="41"/>
        <v>1</v>
      </c>
    </row>
    <row r="372" spans="1:23" ht="17.25" customHeight="1">
      <c r="A372" s="1" t="s">
        <v>438</v>
      </c>
      <c r="B372" s="1" t="s">
        <v>22</v>
      </c>
      <c r="C372" s="1" t="s">
        <v>25</v>
      </c>
      <c r="D372" s="1" t="s">
        <v>32</v>
      </c>
      <c r="E372" s="6">
        <v>46251.628472222219</v>
      </c>
      <c r="F372" s="6">
        <v>46251.749305555553</v>
      </c>
      <c r="G372" s="6">
        <v>46253.625</v>
      </c>
      <c r="H372" s="6">
        <v>46253.611805555556</v>
      </c>
      <c r="I372" s="6">
        <v>46253.833333333336</v>
      </c>
      <c r="J372" s="6">
        <v>46253.688888888886</v>
      </c>
      <c r="K372" s="1" t="s">
        <v>66</v>
      </c>
      <c r="L372" s="1" t="s">
        <v>34</v>
      </c>
      <c r="M372" s="6"/>
      <c r="N372" s="6"/>
      <c r="O372" s="1">
        <v>0</v>
      </c>
      <c r="P372" s="1">
        <v>5</v>
      </c>
      <c r="Q372" s="5">
        <f t="shared" si="35"/>
        <v>1</v>
      </c>
      <c r="R372" s="5">
        <f t="shared" si="36"/>
        <v>1</v>
      </c>
      <c r="S372" s="5">
        <f t="shared" si="37"/>
        <v>0</v>
      </c>
      <c r="T372" s="5">
        <f t="shared" si="38"/>
        <v>0</v>
      </c>
      <c r="U372" s="5">
        <f t="shared" si="39"/>
        <v>0</v>
      </c>
      <c r="V372" s="5" t="str">
        <f t="shared" si="40"/>
        <v>无</v>
      </c>
      <c r="W372" s="5">
        <f t="shared" si="41"/>
        <v>1</v>
      </c>
    </row>
    <row r="373" spans="1:23" ht="17.25" customHeight="1">
      <c r="A373" s="1" t="s">
        <v>439</v>
      </c>
      <c r="B373" s="1" t="s">
        <v>22</v>
      </c>
      <c r="C373" s="1" t="s">
        <v>24</v>
      </c>
      <c r="D373" s="1" t="s">
        <v>31</v>
      </c>
      <c r="E373" s="6">
        <v>46251.631944444445</v>
      </c>
      <c r="F373" s="6">
        <v>46251.738194444442</v>
      </c>
      <c r="G373" s="6">
        <v>46253.708333333336</v>
      </c>
      <c r="H373" s="6">
        <v>46253.663888888892</v>
      </c>
      <c r="I373" s="6">
        <v>46253.875</v>
      </c>
      <c r="J373" s="6">
        <v>46253.724305555559</v>
      </c>
      <c r="K373" s="1" t="s">
        <v>66</v>
      </c>
      <c r="L373" s="1" t="s">
        <v>34</v>
      </c>
      <c r="M373" s="6"/>
      <c r="N373" s="6"/>
      <c r="O373" s="1">
        <v>0</v>
      </c>
      <c r="P373" s="1">
        <v>5</v>
      </c>
      <c r="Q373" s="5">
        <f t="shared" si="35"/>
        <v>1</v>
      </c>
      <c r="R373" s="5">
        <f t="shared" si="36"/>
        <v>1</v>
      </c>
      <c r="S373" s="5">
        <f t="shared" si="37"/>
        <v>0</v>
      </c>
      <c r="T373" s="5">
        <f t="shared" si="38"/>
        <v>0</v>
      </c>
      <c r="U373" s="5">
        <f t="shared" si="39"/>
        <v>0</v>
      </c>
      <c r="V373" s="5" t="str">
        <f t="shared" si="40"/>
        <v>无</v>
      </c>
      <c r="W373" s="5">
        <f t="shared" si="41"/>
        <v>1</v>
      </c>
    </row>
    <row r="374" spans="1:23" ht="17.25" customHeight="1">
      <c r="A374" s="1" t="s">
        <v>440</v>
      </c>
      <c r="B374" s="1" t="s">
        <v>22</v>
      </c>
      <c r="C374" s="1" t="s">
        <v>25</v>
      </c>
      <c r="D374" s="1" t="s">
        <v>32</v>
      </c>
      <c r="E374" s="6">
        <v>46251.673611111109</v>
      </c>
      <c r="F374" s="6">
        <v>46254.53402777778</v>
      </c>
      <c r="G374" s="6">
        <v>46254.5</v>
      </c>
      <c r="H374" s="6">
        <v>46254.556250000001</v>
      </c>
      <c r="I374" s="6">
        <v>46254.708333333336</v>
      </c>
      <c r="J374" s="6">
        <v>46254.602083333331</v>
      </c>
      <c r="K374" s="1" t="s">
        <v>66</v>
      </c>
      <c r="L374" s="1" t="s">
        <v>35</v>
      </c>
      <c r="M374" s="6">
        <v>46254.5</v>
      </c>
      <c r="N374" s="6">
        <v>46254.629166666666</v>
      </c>
      <c r="O374" s="1">
        <v>1</v>
      </c>
      <c r="P374" s="1">
        <v>1</v>
      </c>
      <c r="Q374" s="5">
        <f t="shared" si="35"/>
        <v>0</v>
      </c>
      <c r="R374" s="5">
        <f t="shared" si="36"/>
        <v>1</v>
      </c>
      <c r="S374" s="5">
        <f t="shared" si="37"/>
        <v>1</v>
      </c>
      <c r="T374" s="5">
        <f t="shared" si="38"/>
        <v>1</v>
      </c>
      <c r="U374" s="5">
        <f t="shared" si="39"/>
        <v>0</v>
      </c>
      <c r="V374" s="5" t="str">
        <f t="shared" si="40"/>
        <v>派单超时</v>
      </c>
      <c r="W374" s="5">
        <f t="shared" si="41"/>
        <v>1</v>
      </c>
    </row>
    <row r="375" spans="1:23" ht="17.25" customHeight="1">
      <c r="A375" s="1" t="s">
        <v>441</v>
      </c>
      <c r="B375" s="1" t="s">
        <v>20</v>
      </c>
      <c r="C375" s="1" t="s">
        <v>24</v>
      </c>
      <c r="D375" s="1" t="s">
        <v>27</v>
      </c>
      <c r="E375" s="6">
        <v>46251.680555555555</v>
      </c>
      <c r="F375" s="6">
        <v>46251.742361111108</v>
      </c>
      <c r="G375" s="6">
        <v>46252.708333333336</v>
      </c>
      <c r="H375" s="6">
        <v>46252.686805555553</v>
      </c>
      <c r="I375" s="6">
        <v>46252.875</v>
      </c>
      <c r="J375" s="6">
        <v>46252.781944444447</v>
      </c>
      <c r="K375" s="1" t="s">
        <v>66</v>
      </c>
      <c r="L375" s="1" t="s">
        <v>34</v>
      </c>
      <c r="M375" s="6"/>
      <c r="N375" s="6"/>
      <c r="O375" s="1">
        <v>0</v>
      </c>
      <c r="P375" s="1">
        <v>5</v>
      </c>
      <c r="Q375" s="5">
        <f t="shared" si="35"/>
        <v>1</v>
      </c>
      <c r="R375" s="5">
        <f t="shared" si="36"/>
        <v>1</v>
      </c>
      <c r="S375" s="5">
        <f t="shared" si="37"/>
        <v>0</v>
      </c>
      <c r="T375" s="5">
        <f t="shared" si="38"/>
        <v>0</v>
      </c>
      <c r="U375" s="5">
        <f t="shared" si="39"/>
        <v>0</v>
      </c>
      <c r="V375" s="5" t="str">
        <f t="shared" si="40"/>
        <v>无</v>
      </c>
      <c r="W375" s="5">
        <f t="shared" si="41"/>
        <v>1</v>
      </c>
    </row>
    <row r="376" spans="1:23" ht="17.25" customHeight="1">
      <c r="A376" s="1" t="s">
        <v>442</v>
      </c>
      <c r="B376" s="1" t="s">
        <v>21</v>
      </c>
      <c r="C376" s="1" t="s">
        <v>26</v>
      </c>
      <c r="D376" s="1" t="s">
        <v>29</v>
      </c>
      <c r="E376" s="6">
        <v>46251.725694444445</v>
      </c>
      <c r="F376" s="6">
        <v>46251.820138888892</v>
      </c>
      <c r="G376" s="6">
        <v>46252.708333333336</v>
      </c>
      <c r="H376" s="6">
        <v>46252.674305555556</v>
      </c>
      <c r="I376" s="6">
        <v>46252.833333333336</v>
      </c>
      <c r="J376" s="6">
        <v>46252.728472222225</v>
      </c>
      <c r="K376" s="1" t="s">
        <v>66</v>
      </c>
      <c r="L376" s="1" t="s">
        <v>34</v>
      </c>
      <c r="M376" s="6"/>
      <c r="N376" s="6"/>
      <c r="O376" s="1">
        <v>0</v>
      </c>
      <c r="P376" s="1"/>
      <c r="Q376" s="5">
        <f t="shared" si="35"/>
        <v>1</v>
      </c>
      <c r="R376" s="5">
        <f t="shared" si="36"/>
        <v>1</v>
      </c>
      <c r="S376" s="5">
        <f t="shared" si="37"/>
        <v>0</v>
      </c>
      <c r="T376" s="5">
        <f t="shared" si="38"/>
        <v>0</v>
      </c>
      <c r="U376" s="5">
        <f t="shared" si="39"/>
        <v>0</v>
      </c>
      <c r="V376" s="5" t="str">
        <f t="shared" si="40"/>
        <v>无</v>
      </c>
      <c r="W376" s="5">
        <f t="shared" si="41"/>
        <v>1</v>
      </c>
    </row>
    <row r="377" spans="1:23" ht="17.25" customHeight="1">
      <c r="A377" s="1" t="s">
        <v>443</v>
      </c>
      <c r="B377" s="1" t="s">
        <v>21</v>
      </c>
      <c r="C377" s="1" t="s">
        <v>24</v>
      </c>
      <c r="D377" s="1" t="s">
        <v>30</v>
      </c>
      <c r="E377" s="6">
        <v>46251.725694444445</v>
      </c>
      <c r="F377" s="6">
        <v>46251.776388888888</v>
      </c>
      <c r="G377" s="6">
        <v>46252.5</v>
      </c>
      <c r="H377" s="6">
        <v>46252.468055555553</v>
      </c>
      <c r="I377" s="6">
        <v>46252.666666666664</v>
      </c>
      <c r="J377" s="6">
        <v>46252.559027777781</v>
      </c>
      <c r="K377" s="1" t="s">
        <v>66</v>
      </c>
      <c r="L377" s="1" t="s">
        <v>34</v>
      </c>
      <c r="M377" s="6"/>
      <c r="N377" s="6"/>
      <c r="O377" s="1">
        <v>0</v>
      </c>
      <c r="P377" s="1">
        <v>4</v>
      </c>
      <c r="Q377" s="5">
        <f t="shared" si="35"/>
        <v>1</v>
      </c>
      <c r="R377" s="5">
        <f t="shared" si="36"/>
        <v>1</v>
      </c>
      <c r="S377" s="5">
        <f t="shared" si="37"/>
        <v>0</v>
      </c>
      <c r="T377" s="5">
        <f t="shared" si="38"/>
        <v>0</v>
      </c>
      <c r="U377" s="5">
        <f t="shared" si="39"/>
        <v>0</v>
      </c>
      <c r="V377" s="5" t="str">
        <f t="shared" si="40"/>
        <v>无</v>
      </c>
      <c r="W377" s="5">
        <f t="shared" si="41"/>
        <v>1</v>
      </c>
    </row>
    <row r="378" spans="1:23" ht="17.25" customHeight="1">
      <c r="A378" s="1" t="s">
        <v>444</v>
      </c>
      <c r="B378" s="1" t="s">
        <v>22</v>
      </c>
      <c r="C378" s="1" t="s">
        <v>25</v>
      </c>
      <c r="D378" s="1" t="s">
        <v>31</v>
      </c>
      <c r="E378" s="6">
        <v>46252.34375</v>
      </c>
      <c r="F378" s="6">
        <v>46252.451388888891</v>
      </c>
      <c r="G378" s="6">
        <v>46254.625</v>
      </c>
      <c r="H378" s="6">
        <v>46254.60833333333</v>
      </c>
      <c r="I378" s="6">
        <v>46254.833333333336</v>
      </c>
      <c r="J378" s="6">
        <v>46254.696527777778</v>
      </c>
      <c r="K378" s="1" t="s">
        <v>66</v>
      </c>
      <c r="L378" s="1" t="s">
        <v>34</v>
      </c>
      <c r="M378" s="6"/>
      <c r="N378" s="6"/>
      <c r="O378" s="1">
        <v>0</v>
      </c>
      <c r="P378" s="1">
        <v>4</v>
      </c>
      <c r="Q378" s="5">
        <f t="shared" si="35"/>
        <v>1</v>
      </c>
      <c r="R378" s="5">
        <f t="shared" si="36"/>
        <v>1</v>
      </c>
      <c r="S378" s="5">
        <f t="shared" si="37"/>
        <v>0</v>
      </c>
      <c r="T378" s="5">
        <f t="shared" si="38"/>
        <v>0</v>
      </c>
      <c r="U378" s="5">
        <f t="shared" si="39"/>
        <v>0</v>
      </c>
      <c r="V378" s="5" t="str">
        <f t="shared" si="40"/>
        <v>无</v>
      </c>
      <c r="W378" s="5">
        <f t="shared" si="41"/>
        <v>1</v>
      </c>
    </row>
    <row r="379" spans="1:23" ht="17.25" customHeight="1">
      <c r="A379" s="1" t="s">
        <v>445</v>
      </c>
      <c r="B379" s="1" t="s">
        <v>20</v>
      </c>
      <c r="C379" s="1" t="s">
        <v>25</v>
      </c>
      <c r="D379" s="1" t="s">
        <v>27</v>
      </c>
      <c r="E379" s="6">
        <v>46252.364583333336</v>
      </c>
      <c r="F379" s="6">
        <v>46252.414583333331</v>
      </c>
      <c r="G379" s="6">
        <v>46253.416666666664</v>
      </c>
      <c r="H379" s="6">
        <v>46253.383333333331</v>
      </c>
      <c r="I379" s="6">
        <v>46253.625</v>
      </c>
      <c r="J379" s="6">
        <v>46253.481944444444</v>
      </c>
      <c r="K379" s="1" t="s">
        <v>66</v>
      </c>
      <c r="L379" s="1" t="s">
        <v>34</v>
      </c>
      <c r="M379" s="6"/>
      <c r="N379" s="6"/>
      <c r="O379" s="1">
        <v>0</v>
      </c>
      <c r="P379" s="1">
        <v>4</v>
      </c>
      <c r="Q379" s="5">
        <f t="shared" si="35"/>
        <v>1</v>
      </c>
      <c r="R379" s="5">
        <f t="shared" si="36"/>
        <v>1</v>
      </c>
      <c r="S379" s="5">
        <f t="shared" si="37"/>
        <v>0</v>
      </c>
      <c r="T379" s="5">
        <f t="shared" si="38"/>
        <v>0</v>
      </c>
      <c r="U379" s="5">
        <f t="shared" si="39"/>
        <v>0</v>
      </c>
      <c r="V379" s="5" t="str">
        <f t="shared" si="40"/>
        <v>无</v>
      </c>
      <c r="W379" s="5">
        <f t="shared" si="41"/>
        <v>1</v>
      </c>
    </row>
    <row r="380" spans="1:23" ht="17.25" customHeight="1">
      <c r="A380" s="1" t="s">
        <v>446</v>
      </c>
      <c r="B380" s="1" t="s">
        <v>21</v>
      </c>
      <c r="C380" s="1" t="s">
        <v>25</v>
      </c>
      <c r="D380" s="1" t="s">
        <v>29</v>
      </c>
      <c r="E380" s="6">
        <v>46252.385416666664</v>
      </c>
      <c r="F380" s="6">
        <v>46252.475694444445</v>
      </c>
      <c r="G380" s="6">
        <v>46253.625</v>
      </c>
      <c r="H380" s="6">
        <v>46253.597222222219</v>
      </c>
      <c r="I380" s="6">
        <v>46253.833333333336</v>
      </c>
      <c r="J380" s="6">
        <v>46253.634722222225</v>
      </c>
      <c r="K380" s="1" t="s">
        <v>66</v>
      </c>
      <c r="L380" s="1" t="s">
        <v>34</v>
      </c>
      <c r="M380" s="6"/>
      <c r="N380" s="6"/>
      <c r="O380" s="1">
        <v>0</v>
      </c>
      <c r="P380" s="1">
        <v>5</v>
      </c>
      <c r="Q380" s="5">
        <f t="shared" si="35"/>
        <v>1</v>
      </c>
      <c r="R380" s="5">
        <f t="shared" si="36"/>
        <v>1</v>
      </c>
      <c r="S380" s="5">
        <f t="shared" si="37"/>
        <v>0</v>
      </c>
      <c r="T380" s="5">
        <f t="shared" si="38"/>
        <v>0</v>
      </c>
      <c r="U380" s="5">
        <f t="shared" si="39"/>
        <v>0</v>
      </c>
      <c r="V380" s="5" t="str">
        <f t="shared" si="40"/>
        <v>无</v>
      </c>
      <c r="W380" s="5">
        <f t="shared" si="41"/>
        <v>1</v>
      </c>
    </row>
    <row r="381" spans="1:23" ht="17.25" customHeight="1">
      <c r="A381" s="1" t="s">
        <v>447</v>
      </c>
      <c r="B381" s="1" t="s">
        <v>20</v>
      </c>
      <c r="C381" s="1" t="s">
        <v>24</v>
      </c>
      <c r="D381" s="1" t="s">
        <v>28</v>
      </c>
      <c r="E381" s="6">
        <v>46252.479166666664</v>
      </c>
      <c r="F381" s="6">
        <v>46252.525694444441</v>
      </c>
      <c r="G381" s="6">
        <v>46254.416666666664</v>
      </c>
      <c r="H381" s="6">
        <v>46254.381249999999</v>
      </c>
      <c r="I381" s="6">
        <v>46254.583333333336</v>
      </c>
      <c r="J381" s="6">
        <v>46254.476388888892</v>
      </c>
      <c r="K381" s="1" t="s">
        <v>66</v>
      </c>
      <c r="L381" s="1" t="s">
        <v>34</v>
      </c>
      <c r="M381" s="6"/>
      <c r="N381" s="6"/>
      <c r="O381" s="1">
        <v>0</v>
      </c>
      <c r="P381" s="1"/>
      <c r="Q381" s="5">
        <f t="shared" si="35"/>
        <v>1</v>
      </c>
      <c r="R381" s="5">
        <f t="shared" si="36"/>
        <v>1</v>
      </c>
      <c r="S381" s="5">
        <f t="shared" si="37"/>
        <v>0</v>
      </c>
      <c r="T381" s="5">
        <f t="shared" si="38"/>
        <v>0</v>
      </c>
      <c r="U381" s="5">
        <f t="shared" si="39"/>
        <v>0</v>
      </c>
      <c r="V381" s="5" t="str">
        <f t="shared" si="40"/>
        <v>无</v>
      </c>
      <c r="W381" s="5">
        <f t="shared" si="41"/>
        <v>1</v>
      </c>
    </row>
    <row r="382" spans="1:23" ht="17.25" customHeight="1">
      <c r="A382" s="1" t="s">
        <v>448</v>
      </c>
      <c r="B382" s="1" t="s">
        <v>21</v>
      </c>
      <c r="C382" s="1" t="s">
        <v>25</v>
      </c>
      <c r="D382" s="1" t="s">
        <v>30</v>
      </c>
      <c r="E382" s="6">
        <v>46252.482638888891</v>
      </c>
      <c r="F382" s="6">
        <v>46252.53125</v>
      </c>
      <c r="G382" s="6">
        <v>46253.5</v>
      </c>
      <c r="H382" s="6">
        <v>46253.481249999997</v>
      </c>
      <c r="I382" s="6">
        <v>46253.708333333336</v>
      </c>
      <c r="J382" s="6">
        <v>46253.584027777775</v>
      </c>
      <c r="K382" s="1" t="s">
        <v>66</v>
      </c>
      <c r="L382" s="1" t="s">
        <v>34</v>
      </c>
      <c r="M382" s="6"/>
      <c r="N382" s="6"/>
      <c r="O382" s="1">
        <v>0</v>
      </c>
      <c r="P382" s="1">
        <v>4</v>
      </c>
      <c r="Q382" s="5">
        <f t="shared" si="35"/>
        <v>1</v>
      </c>
      <c r="R382" s="5">
        <f t="shared" si="36"/>
        <v>1</v>
      </c>
      <c r="S382" s="5">
        <f t="shared" si="37"/>
        <v>0</v>
      </c>
      <c r="T382" s="5">
        <f t="shared" si="38"/>
        <v>0</v>
      </c>
      <c r="U382" s="5">
        <f t="shared" si="39"/>
        <v>0</v>
      </c>
      <c r="V382" s="5" t="str">
        <f t="shared" si="40"/>
        <v>无</v>
      </c>
      <c r="W382" s="5">
        <f t="shared" si="41"/>
        <v>1</v>
      </c>
    </row>
    <row r="383" spans="1:23" ht="17.25" customHeight="1">
      <c r="A383" s="1" t="s">
        <v>449</v>
      </c>
      <c r="B383" s="1" t="s">
        <v>21</v>
      </c>
      <c r="C383" s="1" t="s">
        <v>25</v>
      </c>
      <c r="D383" s="1" t="s">
        <v>30</v>
      </c>
      <c r="E383" s="6">
        <v>46252.510416666664</v>
      </c>
      <c r="F383" s="6">
        <v>46252.536805555559</v>
      </c>
      <c r="G383" s="6">
        <v>46253.5</v>
      </c>
      <c r="H383" s="6">
        <v>46253.450694444444</v>
      </c>
      <c r="I383" s="6">
        <v>46253.708333333336</v>
      </c>
      <c r="J383" s="6">
        <v>46253.53125</v>
      </c>
      <c r="K383" s="1" t="s">
        <v>66</v>
      </c>
      <c r="L383" s="1" t="s">
        <v>34</v>
      </c>
      <c r="M383" s="6"/>
      <c r="N383" s="6"/>
      <c r="O383" s="1">
        <v>0</v>
      </c>
      <c r="P383" s="1">
        <v>5</v>
      </c>
      <c r="Q383" s="5">
        <f t="shared" si="35"/>
        <v>1</v>
      </c>
      <c r="R383" s="5">
        <f t="shared" si="36"/>
        <v>1</v>
      </c>
      <c r="S383" s="5">
        <f t="shared" si="37"/>
        <v>0</v>
      </c>
      <c r="T383" s="5">
        <f t="shared" si="38"/>
        <v>0</v>
      </c>
      <c r="U383" s="5">
        <f t="shared" si="39"/>
        <v>0</v>
      </c>
      <c r="V383" s="5" t="str">
        <f t="shared" si="40"/>
        <v>无</v>
      </c>
      <c r="W383" s="5">
        <f t="shared" si="41"/>
        <v>1</v>
      </c>
    </row>
    <row r="384" spans="1:23" ht="17.25" customHeight="1">
      <c r="A384" s="1" t="s">
        <v>450</v>
      </c>
      <c r="B384" s="1" t="s">
        <v>22</v>
      </c>
      <c r="C384" s="1" t="s">
        <v>24</v>
      </c>
      <c r="D384" s="1" t="s">
        <v>32</v>
      </c>
      <c r="E384" s="6">
        <v>46252.597222222219</v>
      </c>
      <c r="F384" s="6">
        <v>46252.723611111112</v>
      </c>
      <c r="G384" s="6">
        <v>46254.5</v>
      </c>
      <c r="H384" s="6">
        <v>46254.523611111108</v>
      </c>
      <c r="I384" s="6">
        <v>46254.666666666664</v>
      </c>
      <c r="J384" s="6">
        <v>46254.568055555559</v>
      </c>
      <c r="K384" s="1" t="s">
        <v>66</v>
      </c>
      <c r="L384" s="1" t="s">
        <v>36</v>
      </c>
      <c r="M384" s="6">
        <v>46254.5</v>
      </c>
      <c r="N384" s="6"/>
      <c r="O384" s="1">
        <v>1</v>
      </c>
      <c r="P384" s="1"/>
      <c r="Q384" s="5">
        <f t="shared" si="35"/>
        <v>0</v>
      </c>
      <c r="R384" s="5">
        <f t="shared" si="36"/>
        <v>1</v>
      </c>
      <c r="S384" s="5">
        <f t="shared" si="37"/>
        <v>1</v>
      </c>
      <c r="T384" s="5">
        <f t="shared" si="38"/>
        <v>0</v>
      </c>
      <c r="U384" s="5">
        <f t="shared" si="39"/>
        <v>1</v>
      </c>
      <c r="V384" s="5" t="str">
        <f t="shared" si="40"/>
        <v>上门超时</v>
      </c>
      <c r="W384" s="5">
        <f t="shared" si="41"/>
        <v>1</v>
      </c>
    </row>
    <row r="385" spans="1:23" ht="17.25" customHeight="1">
      <c r="A385" s="1" t="s">
        <v>451</v>
      </c>
      <c r="B385" s="1" t="s">
        <v>20</v>
      </c>
      <c r="C385" s="1" t="s">
        <v>26</v>
      </c>
      <c r="D385" s="1" t="s">
        <v>27</v>
      </c>
      <c r="E385" s="6">
        <v>46252.621527777781</v>
      </c>
      <c r="F385" s="6">
        <v>46252.727777777778</v>
      </c>
      <c r="G385" s="6">
        <v>46254.708333333336</v>
      </c>
      <c r="H385" s="6">
        <v>46254.665277777778</v>
      </c>
      <c r="I385" s="6">
        <v>46254.833333333336</v>
      </c>
      <c r="J385" s="6">
        <v>46254.762499999997</v>
      </c>
      <c r="K385" s="1" t="s">
        <v>66</v>
      </c>
      <c r="L385" s="1" t="s">
        <v>34</v>
      </c>
      <c r="M385" s="6"/>
      <c r="N385" s="6"/>
      <c r="O385" s="1">
        <v>0</v>
      </c>
      <c r="P385" s="1">
        <v>5</v>
      </c>
      <c r="Q385" s="5">
        <f t="shared" si="35"/>
        <v>1</v>
      </c>
      <c r="R385" s="5">
        <f t="shared" si="36"/>
        <v>1</v>
      </c>
      <c r="S385" s="5">
        <f t="shared" si="37"/>
        <v>0</v>
      </c>
      <c r="T385" s="5">
        <f t="shared" si="38"/>
        <v>0</v>
      </c>
      <c r="U385" s="5">
        <f t="shared" si="39"/>
        <v>0</v>
      </c>
      <c r="V385" s="5" t="str">
        <f t="shared" si="40"/>
        <v>无</v>
      </c>
      <c r="W385" s="5">
        <f t="shared" si="41"/>
        <v>1</v>
      </c>
    </row>
    <row r="386" spans="1:23" ht="17.25" customHeight="1">
      <c r="A386" s="1" t="s">
        <v>452</v>
      </c>
      <c r="B386" s="1" t="s">
        <v>20</v>
      </c>
      <c r="C386" s="1" t="s">
        <v>24</v>
      </c>
      <c r="D386" s="1" t="s">
        <v>27</v>
      </c>
      <c r="E386" s="6">
        <v>46252.638888888891</v>
      </c>
      <c r="F386" s="6">
        <v>46252.772222222222</v>
      </c>
      <c r="G386" s="6">
        <v>46253.416666666664</v>
      </c>
      <c r="H386" s="6">
        <v>46253.402777777781</v>
      </c>
      <c r="I386" s="6">
        <v>46253.583333333336</v>
      </c>
      <c r="J386" s="6">
        <v>46253.495833333334</v>
      </c>
      <c r="K386" s="1" t="s">
        <v>66</v>
      </c>
      <c r="L386" s="1" t="s">
        <v>34</v>
      </c>
      <c r="M386" s="6"/>
      <c r="N386" s="6"/>
      <c r="O386" s="1">
        <v>0</v>
      </c>
      <c r="P386" s="1">
        <v>4</v>
      </c>
      <c r="Q386" s="5">
        <f t="shared" ref="Q386:Q449" si="42">IF(AND(ISNUMBER(H386),H386&lt;=G386),1,0)</f>
        <v>1</v>
      </c>
      <c r="R386" s="5">
        <f t="shared" ref="R386:R449" si="43">IF(AND(ISNUMBER(J386),J386&lt;=I386),1,0)</f>
        <v>1</v>
      </c>
      <c r="S386" s="5">
        <f t="shared" ref="S386:S449" si="44">IF(V386="无",0,1)</f>
        <v>0</v>
      </c>
      <c r="T386" s="5">
        <f t="shared" ref="T386:T449" si="45">IF(AND(S386=1,ISNUMBER(N386)),1,0)</f>
        <v>0</v>
      </c>
      <c r="U386" s="5">
        <f t="shared" ref="U386:U449" si="46">IF(AND(S386=1,T386=0),1,0)</f>
        <v>0</v>
      </c>
      <c r="V386" s="5" t="str">
        <f t="shared" ref="V386:V449" si="47">IF(AND(ISNUMBER(F386),F386&lt;=G386),IF(AND(ISNUMBER(H386),H386&lt;=G386),IF(AND(ISNUMBER(J386),J386&lt;=I386),"无","完工超时"),"上门超时"),"派单超时")</f>
        <v>无</v>
      </c>
      <c r="W386" s="5">
        <f t="shared" ref="W386:W449" si="48">IF(L386=V386,1,0)</f>
        <v>1</v>
      </c>
    </row>
    <row r="387" spans="1:23" ht="17.25" customHeight="1">
      <c r="A387" s="1" t="s">
        <v>453</v>
      </c>
      <c r="B387" s="1" t="s">
        <v>21</v>
      </c>
      <c r="C387" s="1" t="s">
        <v>25</v>
      </c>
      <c r="D387" s="1" t="s">
        <v>29</v>
      </c>
      <c r="E387" s="6">
        <v>46252.652777777781</v>
      </c>
      <c r="F387" s="6">
        <v>46252.804861111108</v>
      </c>
      <c r="G387" s="6">
        <v>46253.625</v>
      </c>
      <c r="H387" s="6">
        <v>46253.613888888889</v>
      </c>
      <c r="I387" s="6">
        <v>46253.833333333336</v>
      </c>
      <c r="J387" s="6">
        <v>46253.661805555559</v>
      </c>
      <c r="K387" s="1" t="s">
        <v>66</v>
      </c>
      <c r="L387" s="1" t="s">
        <v>34</v>
      </c>
      <c r="M387" s="6"/>
      <c r="N387" s="6"/>
      <c r="O387" s="1">
        <v>0</v>
      </c>
      <c r="P387" s="1">
        <v>5</v>
      </c>
      <c r="Q387" s="5">
        <f t="shared" si="42"/>
        <v>1</v>
      </c>
      <c r="R387" s="5">
        <f t="shared" si="43"/>
        <v>1</v>
      </c>
      <c r="S387" s="5">
        <f t="shared" si="44"/>
        <v>0</v>
      </c>
      <c r="T387" s="5">
        <f t="shared" si="45"/>
        <v>0</v>
      </c>
      <c r="U387" s="5">
        <f t="shared" si="46"/>
        <v>0</v>
      </c>
      <c r="V387" s="5" t="str">
        <f t="shared" si="47"/>
        <v>无</v>
      </c>
      <c r="W387" s="5">
        <f t="shared" si="48"/>
        <v>1</v>
      </c>
    </row>
    <row r="388" spans="1:23" ht="17.25" customHeight="1">
      <c r="A388" s="1" t="s">
        <v>454</v>
      </c>
      <c r="B388" s="1" t="s">
        <v>20</v>
      </c>
      <c r="C388" s="1" t="s">
        <v>24</v>
      </c>
      <c r="D388" s="1" t="s">
        <v>27</v>
      </c>
      <c r="E388" s="6">
        <v>46252.694444444445</v>
      </c>
      <c r="F388" s="6">
        <v>46252.728472222225</v>
      </c>
      <c r="G388" s="6">
        <v>46253.625</v>
      </c>
      <c r="H388" s="6">
        <v>46253.584722222222</v>
      </c>
      <c r="I388" s="6">
        <v>46253.791666666664</v>
      </c>
      <c r="J388" s="6">
        <v>46253.645138888889</v>
      </c>
      <c r="K388" s="1" t="s">
        <v>66</v>
      </c>
      <c r="L388" s="1" t="s">
        <v>34</v>
      </c>
      <c r="M388" s="6"/>
      <c r="N388" s="6"/>
      <c r="O388" s="1">
        <v>0</v>
      </c>
      <c r="P388" s="1">
        <v>5</v>
      </c>
      <c r="Q388" s="5">
        <f t="shared" si="42"/>
        <v>1</v>
      </c>
      <c r="R388" s="5">
        <f t="shared" si="43"/>
        <v>1</v>
      </c>
      <c r="S388" s="5">
        <f t="shared" si="44"/>
        <v>0</v>
      </c>
      <c r="T388" s="5">
        <f t="shared" si="45"/>
        <v>0</v>
      </c>
      <c r="U388" s="5">
        <f t="shared" si="46"/>
        <v>0</v>
      </c>
      <c r="V388" s="5" t="str">
        <f t="shared" si="47"/>
        <v>无</v>
      </c>
      <c r="W388" s="5">
        <f t="shared" si="48"/>
        <v>1</v>
      </c>
    </row>
    <row r="389" spans="1:23" ht="17.25" customHeight="1">
      <c r="A389" s="1" t="s">
        <v>455</v>
      </c>
      <c r="B389" s="1" t="s">
        <v>21</v>
      </c>
      <c r="C389" s="1" t="s">
        <v>24</v>
      </c>
      <c r="D389" s="1" t="s">
        <v>29</v>
      </c>
      <c r="E389" s="6">
        <v>46252.75</v>
      </c>
      <c r="F389" s="6">
        <v>46252.85</v>
      </c>
      <c r="G389" s="6">
        <v>46253.416666666664</v>
      </c>
      <c r="H389" s="6">
        <v>46253.372916666667</v>
      </c>
      <c r="I389" s="6">
        <v>46253.583333333336</v>
      </c>
      <c r="J389" s="6">
        <v>46253.449305555558</v>
      </c>
      <c r="K389" s="1" t="s">
        <v>66</v>
      </c>
      <c r="L389" s="1" t="s">
        <v>34</v>
      </c>
      <c r="M389" s="6"/>
      <c r="N389" s="6"/>
      <c r="O389" s="1">
        <v>0</v>
      </c>
      <c r="P389" s="1">
        <v>5</v>
      </c>
      <c r="Q389" s="5">
        <f t="shared" si="42"/>
        <v>1</v>
      </c>
      <c r="R389" s="5">
        <f t="shared" si="43"/>
        <v>1</v>
      </c>
      <c r="S389" s="5">
        <f t="shared" si="44"/>
        <v>0</v>
      </c>
      <c r="T389" s="5">
        <f t="shared" si="45"/>
        <v>0</v>
      </c>
      <c r="U389" s="5">
        <f t="shared" si="46"/>
        <v>0</v>
      </c>
      <c r="V389" s="5" t="str">
        <f t="shared" si="47"/>
        <v>无</v>
      </c>
      <c r="W389" s="5">
        <f t="shared" si="48"/>
        <v>1</v>
      </c>
    </row>
    <row r="390" spans="1:23" ht="17.25" customHeight="1">
      <c r="A390" s="1" t="s">
        <v>456</v>
      </c>
      <c r="B390" s="1" t="s">
        <v>22</v>
      </c>
      <c r="C390" s="1" t="s">
        <v>25</v>
      </c>
      <c r="D390" s="1" t="s">
        <v>32</v>
      </c>
      <c r="E390" s="6">
        <v>46252.784722222219</v>
      </c>
      <c r="F390" s="6">
        <v>46252.90902777778</v>
      </c>
      <c r="G390" s="6">
        <v>46253.625</v>
      </c>
      <c r="H390" s="6">
        <v>46253.580555555556</v>
      </c>
      <c r="I390" s="6">
        <v>46253.833333333336</v>
      </c>
      <c r="J390" s="6">
        <v>46253.62777777778</v>
      </c>
      <c r="K390" s="1" t="s">
        <v>66</v>
      </c>
      <c r="L390" s="1" t="s">
        <v>34</v>
      </c>
      <c r="M390" s="6"/>
      <c r="N390" s="6"/>
      <c r="O390" s="1">
        <v>0</v>
      </c>
      <c r="P390" s="1">
        <v>5</v>
      </c>
      <c r="Q390" s="5">
        <f t="shared" si="42"/>
        <v>1</v>
      </c>
      <c r="R390" s="5">
        <f t="shared" si="43"/>
        <v>1</v>
      </c>
      <c r="S390" s="5">
        <f t="shared" si="44"/>
        <v>0</v>
      </c>
      <c r="T390" s="5">
        <f t="shared" si="45"/>
        <v>0</v>
      </c>
      <c r="U390" s="5">
        <f t="shared" si="46"/>
        <v>0</v>
      </c>
      <c r="V390" s="5" t="str">
        <f t="shared" si="47"/>
        <v>无</v>
      </c>
      <c r="W390" s="5">
        <f t="shared" si="48"/>
        <v>1</v>
      </c>
    </row>
    <row r="391" spans="1:23" ht="17.25" customHeight="1">
      <c r="A391" s="1" t="s">
        <v>457</v>
      </c>
      <c r="B391" s="1" t="s">
        <v>22</v>
      </c>
      <c r="C391" s="1" t="s">
        <v>24</v>
      </c>
      <c r="D391" s="1" t="s">
        <v>31</v>
      </c>
      <c r="E391" s="6">
        <v>46253.336805555555</v>
      </c>
      <c r="F391" s="6">
        <v>46253.402083333334</v>
      </c>
      <c r="G391" s="6">
        <v>46254.416666666664</v>
      </c>
      <c r="H391" s="6">
        <v>46254.386805555558</v>
      </c>
      <c r="I391" s="6">
        <v>46254.583333333336</v>
      </c>
      <c r="J391" s="6">
        <v>46254.439583333333</v>
      </c>
      <c r="K391" s="1" t="s">
        <v>66</v>
      </c>
      <c r="L391" s="1" t="s">
        <v>34</v>
      </c>
      <c r="M391" s="6"/>
      <c r="N391" s="6"/>
      <c r="O391" s="1">
        <v>0</v>
      </c>
      <c r="P391" s="1">
        <v>3</v>
      </c>
      <c r="Q391" s="5">
        <f t="shared" si="42"/>
        <v>1</v>
      </c>
      <c r="R391" s="5">
        <f t="shared" si="43"/>
        <v>1</v>
      </c>
      <c r="S391" s="5">
        <f t="shared" si="44"/>
        <v>0</v>
      </c>
      <c r="T391" s="5">
        <f t="shared" si="45"/>
        <v>0</v>
      </c>
      <c r="U391" s="5">
        <f t="shared" si="46"/>
        <v>0</v>
      </c>
      <c r="V391" s="5" t="str">
        <f t="shared" si="47"/>
        <v>无</v>
      </c>
      <c r="W391" s="5">
        <f t="shared" si="48"/>
        <v>1</v>
      </c>
    </row>
    <row r="392" spans="1:23" ht="17.25" customHeight="1">
      <c r="A392" s="1" t="s">
        <v>458</v>
      </c>
      <c r="B392" s="1" t="s">
        <v>20</v>
      </c>
      <c r="C392" s="1" t="s">
        <v>24</v>
      </c>
      <c r="D392" s="1" t="s">
        <v>27</v>
      </c>
      <c r="E392" s="6">
        <v>46253.371527777781</v>
      </c>
      <c r="F392" s="6">
        <v>46253.435416666667</v>
      </c>
      <c r="G392" s="6">
        <v>46254.625</v>
      </c>
      <c r="H392" s="6">
        <v>46254.584027777775</v>
      </c>
      <c r="I392" s="6">
        <v>46254.791666666664</v>
      </c>
      <c r="J392" s="6">
        <v>46254.681250000001</v>
      </c>
      <c r="K392" s="1" t="s">
        <v>66</v>
      </c>
      <c r="L392" s="1" t="s">
        <v>34</v>
      </c>
      <c r="M392" s="6"/>
      <c r="N392" s="6"/>
      <c r="O392" s="1">
        <v>0</v>
      </c>
      <c r="P392" s="1">
        <v>3</v>
      </c>
      <c r="Q392" s="5">
        <f t="shared" si="42"/>
        <v>1</v>
      </c>
      <c r="R392" s="5">
        <f t="shared" si="43"/>
        <v>1</v>
      </c>
      <c r="S392" s="5">
        <f t="shared" si="44"/>
        <v>0</v>
      </c>
      <c r="T392" s="5">
        <f t="shared" si="45"/>
        <v>0</v>
      </c>
      <c r="U392" s="5">
        <f t="shared" si="46"/>
        <v>0</v>
      </c>
      <c r="V392" s="5" t="str">
        <f t="shared" si="47"/>
        <v>无</v>
      </c>
      <c r="W392" s="5">
        <f t="shared" si="48"/>
        <v>1</v>
      </c>
    </row>
    <row r="393" spans="1:23" ht="17.25" customHeight="1">
      <c r="A393" s="1" t="s">
        <v>459</v>
      </c>
      <c r="B393" s="1" t="s">
        <v>20</v>
      </c>
      <c r="C393" s="1" t="s">
        <v>24</v>
      </c>
      <c r="D393" s="1" t="s">
        <v>28</v>
      </c>
      <c r="E393" s="6">
        <v>46253.472222222219</v>
      </c>
      <c r="F393" s="6">
        <v>46253.495833333334</v>
      </c>
      <c r="G393" s="6">
        <v>46254.5</v>
      </c>
      <c r="H393" s="6">
        <v>46254.473611111112</v>
      </c>
      <c r="I393" s="6">
        <v>46254.666666666664</v>
      </c>
      <c r="J393" s="6">
        <v>46254.704861111109</v>
      </c>
      <c r="K393" s="1" t="s">
        <v>66</v>
      </c>
      <c r="L393" s="1" t="s">
        <v>37</v>
      </c>
      <c r="M393" s="6">
        <v>46254.666666666664</v>
      </c>
      <c r="N393" s="6"/>
      <c r="O393" s="1">
        <v>0</v>
      </c>
      <c r="P393" s="1"/>
      <c r="Q393" s="5">
        <f t="shared" si="42"/>
        <v>1</v>
      </c>
      <c r="R393" s="5">
        <f t="shared" si="43"/>
        <v>0</v>
      </c>
      <c r="S393" s="5">
        <f t="shared" si="44"/>
        <v>1</v>
      </c>
      <c r="T393" s="5">
        <f t="shared" si="45"/>
        <v>0</v>
      </c>
      <c r="U393" s="5">
        <f t="shared" si="46"/>
        <v>1</v>
      </c>
      <c r="V393" s="5" t="str">
        <f t="shared" si="47"/>
        <v>完工超时</v>
      </c>
      <c r="W393" s="5">
        <f t="shared" si="48"/>
        <v>1</v>
      </c>
    </row>
    <row r="394" spans="1:23" ht="17.25" customHeight="1">
      <c r="A394" s="1" t="s">
        <v>460</v>
      </c>
      <c r="B394" s="1" t="s">
        <v>22</v>
      </c>
      <c r="C394" s="1" t="s">
        <v>24</v>
      </c>
      <c r="D394" s="1" t="s">
        <v>31</v>
      </c>
      <c r="E394" s="6">
        <v>46253.482638888891</v>
      </c>
      <c r="F394" s="6">
        <v>46253.609722222223</v>
      </c>
      <c r="G394" s="6">
        <v>46254.625</v>
      </c>
      <c r="H394" s="6">
        <v>46254.587500000001</v>
      </c>
      <c r="I394" s="6">
        <v>46254.791666666664</v>
      </c>
      <c r="J394" s="6">
        <v>46254.658333333333</v>
      </c>
      <c r="K394" s="1" t="s">
        <v>66</v>
      </c>
      <c r="L394" s="1" t="s">
        <v>34</v>
      </c>
      <c r="M394" s="6"/>
      <c r="N394" s="6"/>
      <c r="O394" s="1">
        <v>0</v>
      </c>
      <c r="P394" s="1">
        <v>3</v>
      </c>
      <c r="Q394" s="5">
        <f t="shared" si="42"/>
        <v>1</v>
      </c>
      <c r="R394" s="5">
        <f t="shared" si="43"/>
        <v>1</v>
      </c>
      <c r="S394" s="5">
        <f t="shared" si="44"/>
        <v>0</v>
      </c>
      <c r="T394" s="5">
        <f t="shared" si="45"/>
        <v>0</v>
      </c>
      <c r="U394" s="5">
        <f t="shared" si="46"/>
        <v>0</v>
      </c>
      <c r="V394" s="5" t="str">
        <f t="shared" si="47"/>
        <v>无</v>
      </c>
      <c r="W394" s="5">
        <f t="shared" si="48"/>
        <v>1</v>
      </c>
    </row>
    <row r="395" spans="1:23" ht="17.25" customHeight="1">
      <c r="A395" s="1" t="s">
        <v>461</v>
      </c>
      <c r="B395" s="1" t="s">
        <v>20</v>
      </c>
      <c r="C395" s="1" t="s">
        <v>24</v>
      </c>
      <c r="D395" s="1" t="s">
        <v>27</v>
      </c>
      <c r="E395" s="6">
        <v>46253.493055555555</v>
      </c>
      <c r="F395" s="6">
        <v>46253.651388888888</v>
      </c>
      <c r="G395" s="6">
        <v>46255.416666666664</v>
      </c>
      <c r="H395" s="6">
        <v>46255.383333333331</v>
      </c>
      <c r="I395" s="6">
        <v>46255.583333333336</v>
      </c>
      <c r="J395" s="6">
        <v>46255.445833333331</v>
      </c>
      <c r="K395" s="1" t="s">
        <v>66</v>
      </c>
      <c r="L395" s="1" t="s">
        <v>34</v>
      </c>
      <c r="M395" s="6"/>
      <c r="N395" s="6"/>
      <c r="O395" s="1">
        <v>0</v>
      </c>
      <c r="P395" s="1">
        <v>4</v>
      </c>
      <c r="Q395" s="5">
        <f t="shared" si="42"/>
        <v>1</v>
      </c>
      <c r="R395" s="5">
        <f t="shared" si="43"/>
        <v>1</v>
      </c>
      <c r="S395" s="5">
        <f t="shared" si="44"/>
        <v>0</v>
      </c>
      <c r="T395" s="5">
        <f t="shared" si="45"/>
        <v>0</v>
      </c>
      <c r="U395" s="5">
        <f t="shared" si="46"/>
        <v>0</v>
      </c>
      <c r="V395" s="5" t="str">
        <f t="shared" si="47"/>
        <v>无</v>
      </c>
      <c r="W395" s="5">
        <f t="shared" si="48"/>
        <v>1</v>
      </c>
    </row>
    <row r="396" spans="1:23" ht="17.25" customHeight="1">
      <c r="A396" s="1" t="s">
        <v>462</v>
      </c>
      <c r="B396" s="1" t="s">
        <v>20</v>
      </c>
      <c r="C396" s="1" t="s">
        <v>24</v>
      </c>
      <c r="D396" s="1" t="s">
        <v>28</v>
      </c>
      <c r="E396" s="6">
        <v>46253.513888888891</v>
      </c>
      <c r="F396" s="6">
        <v>46253.661111111112</v>
      </c>
      <c r="G396" s="6">
        <v>46254.416666666664</v>
      </c>
      <c r="H396" s="6">
        <v>46254.497916666667</v>
      </c>
      <c r="I396" s="6">
        <v>46254.583333333336</v>
      </c>
      <c r="J396" s="6">
        <v>46254.570138888892</v>
      </c>
      <c r="K396" s="1" t="s">
        <v>66</v>
      </c>
      <c r="L396" s="1" t="s">
        <v>36</v>
      </c>
      <c r="M396" s="6">
        <v>46254.416666666664</v>
      </c>
      <c r="N396" s="6">
        <v>46254.8</v>
      </c>
      <c r="O396" s="1">
        <v>1</v>
      </c>
      <c r="P396" s="1">
        <v>2</v>
      </c>
      <c r="Q396" s="5">
        <f t="shared" si="42"/>
        <v>0</v>
      </c>
      <c r="R396" s="5">
        <f t="shared" si="43"/>
        <v>1</v>
      </c>
      <c r="S396" s="5">
        <f t="shared" si="44"/>
        <v>1</v>
      </c>
      <c r="T396" s="5">
        <f t="shared" si="45"/>
        <v>1</v>
      </c>
      <c r="U396" s="5">
        <f t="shared" si="46"/>
        <v>0</v>
      </c>
      <c r="V396" s="5" t="str">
        <f t="shared" si="47"/>
        <v>上门超时</v>
      </c>
      <c r="W396" s="5">
        <f t="shared" si="48"/>
        <v>1</v>
      </c>
    </row>
    <row r="397" spans="1:23" ht="17.25" customHeight="1">
      <c r="A397" s="1" t="s">
        <v>463</v>
      </c>
      <c r="B397" s="1" t="s">
        <v>20</v>
      </c>
      <c r="C397" s="1" t="s">
        <v>25</v>
      </c>
      <c r="D397" s="1" t="s">
        <v>27</v>
      </c>
      <c r="E397" s="6">
        <v>46253.527777777781</v>
      </c>
      <c r="F397" s="6">
        <v>46253.669444444444</v>
      </c>
      <c r="G397" s="6">
        <v>46255.5</v>
      </c>
      <c r="H397" s="6">
        <v>46255.472222222219</v>
      </c>
      <c r="I397" s="6">
        <v>46255.708333333336</v>
      </c>
      <c r="J397" s="6">
        <v>46255.569444444445</v>
      </c>
      <c r="K397" s="1" t="s">
        <v>66</v>
      </c>
      <c r="L397" s="1" t="s">
        <v>34</v>
      </c>
      <c r="M397" s="6"/>
      <c r="N397" s="6"/>
      <c r="O397" s="1">
        <v>0</v>
      </c>
      <c r="P397" s="1">
        <v>5</v>
      </c>
      <c r="Q397" s="5">
        <f t="shared" si="42"/>
        <v>1</v>
      </c>
      <c r="R397" s="5">
        <f t="shared" si="43"/>
        <v>1</v>
      </c>
      <c r="S397" s="5">
        <f t="shared" si="44"/>
        <v>0</v>
      </c>
      <c r="T397" s="5">
        <f t="shared" si="45"/>
        <v>0</v>
      </c>
      <c r="U397" s="5">
        <f t="shared" si="46"/>
        <v>0</v>
      </c>
      <c r="V397" s="5" t="str">
        <f t="shared" si="47"/>
        <v>无</v>
      </c>
      <c r="W397" s="5">
        <f t="shared" si="48"/>
        <v>1</v>
      </c>
    </row>
    <row r="398" spans="1:23" ht="17.25" customHeight="1">
      <c r="A398" s="1" t="s">
        <v>464</v>
      </c>
      <c r="B398" s="1" t="s">
        <v>21</v>
      </c>
      <c r="C398" s="1" t="s">
        <v>24</v>
      </c>
      <c r="D398" s="1" t="s">
        <v>30</v>
      </c>
      <c r="E398" s="6">
        <v>46253.545138888891</v>
      </c>
      <c r="F398" s="6">
        <v>46253.638194444444</v>
      </c>
      <c r="G398" s="6">
        <v>46254.625</v>
      </c>
      <c r="H398" s="6">
        <v>46254.590277777781</v>
      </c>
      <c r="I398" s="6">
        <v>46254.791666666664</v>
      </c>
      <c r="J398" s="6">
        <v>46254.666666666664</v>
      </c>
      <c r="K398" s="1" t="s">
        <v>66</v>
      </c>
      <c r="L398" s="1" t="s">
        <v>34</v>
      </c>
      <c r="M398" s="6"/>
      <c r="N398" s="6"/>
      <c r="O398" s="1">
        <v>0</v>
      </c>
      <c r="P398" s="1"/>
      <c r="Q398" s="5">
        <f t="shared" si="42"/>
        <v>1</v>
      </c>
      <c r="R398" s="5">
        <f t="shared" si="43"/>
        <v>1</v>
      </c>
      <c r="S398" s="5">
        <f t="shared" si="44"/>
        <v>0</v>
      </c>
      <c r="T398" s="5">
        <f t="shared" si="45"/>
        <v>0</v>
      </c>
      <c r="U398" s="5">
        <f t="shared" si="46"/>
        <v>0</v>
      </c>
      <c r="V398" s="5" t="str">
        <f t="shared" si="47"/>
        <v>无</v>
      </c>
      <c r="W398" s="5">
        <f t="shared" si="48"/>
        <v>1</v>
      </c>
    </row>
    <row r="399" spans="1:23" ht="17.25" customHeight="1">
      <c r="A399" s="1" t="s">
        <v>465</v>
      </c>
      <c r="B399" s="1" t="s">
        <v>21</v>
      </c>
      <c r="C399" s="1" t="s">
        <v>26</v>
      </c>
      <c r="D399" s="1" t="s">
        <v>30</v>
      </c>
      <c r="E399" s="6">
        <v>46253.611111111109</v>
      </c>
      <c r="F399" s="6">
        <v>46253.675694444442</v>
      </c>
      <c r="G399" s="6">
        <v>46254.416666666664</v>
      </c>
      <c r="H399" s="6">
        <v>46254.384722222225</v>
      </c>
      <c r="I399" s="6">
        <v>46254.541666666664</v>
      </c>
      <c r="J399" s="6">
        <v>46254.431944444441</v>
      </c>
      <c r="K399" s="1" t="s">
        <v>66</v>
      </c>
      <c r="L399" s="1" t="s">
        <v>34</v>
      </c>
      <c r="M399" s="6"/>
      <c r="N399" s="6"/>
      <c r="O399" s="1">
        <v>0</v>
      </c>
      <c r="P399" s="1">
        <v>5</v>
      </c>
      <c r="Q399" s="5">
        <f t="shared" si="42"/>
        <v>1</v>
      </c>
      <c r="R399" s="5">
        <f t="shared" si="43"/>
        <v>1</v>
      </c>
      <c r="S399" s="5">
        <f t="shared" si="44"/>
        <v>0</v>
      </c>
      <c r="T399" s="5">
        <f t="shared" si="45"/>
        <v>0</v>
      </c>
      <c r="U399" s="5">
        <f t="shared" si="46"/>
        <v>0</v>
      </c>
      <c r="V399" s="5" t="str">
        <f t="shared" si="47"/>
        <v>无</v>
      </c>
      <c r="W399" s="5">
        <f t="shared" si="48"/>
        <v>1</v>
      </c>
    </row>
    <row r="400" spans="1:23" ht="17.25" customHeight="1">
      <c r="A400" s="1" t="s">
        <v>466</v>
      </c>
      <c r="B400" s="1" t="s">
        <v>20</v>
      </c>
      <c r="C400" s="1" t="s">
        <v>25</v>
      </c>
      <c r="D400" s="1" t="s">
        <v>28</v>
      </c>
      <c r="E400" s="6">
        <v>46253.649305555555</v>
      </c>
      <c r="F400" s="6">
        <v>46253.72152777778</v>
      </c>
      <c r="G400" s="6">
        <v>46254.416666666664</v>
      </c>
      <c r="H400" s="6">
        <v>46254.40625</v>
      </c>
      <c r="I400" s="6">
        <v>46254.625</v>
      </c>
      <c r="J400" s="6">
        <v>46254.509027777778</v>
      </c>
      <c r="K400" s="1" t="s">
        <v>66</v>
      </c>
      <c r="L400" s="1" t="s">
        <v>34</v>
      </c>
      <c r="M400" s="6"/>
      <c r="N400" s="6"/>
      <c r="O400" s="1">
        <v>0</v>
      </c>
      <c r="P400" s="1">
        <v>4</v>
      </c>
      <c r="Q400" s="5">
        <f t="shared" si="42"/>
        <v>1</v>
      </c>
      <c r="R400" s="5">
        <f t="shared" si="43"/>
        <v>1</v>
      </c>
      <c r="S400" s="5">
        <f t="shared" si="44"/>
        <v>0</v>
      </c>
      <c r="T400" s="5">
        <f t="shared" si="45"/>
        <v>0</v>
      </c>
      <c r="U400" s="5">
        <f t="shared" si="46"/>
        <v>0</v>
      </c>
      <c r="V400" s="5" t="str">
        <f t="shared" si="47"/>
        <v>无</v>
      </c>
      <c r="W400" s="5">
        <f t="shared" si="48"/>
        <v>1</v>
      </c>
    </row>
    <row r="401" spans="1:23" ht="17.25" customHeight="1">
      <c r="A401" s="1" t="s">
        <v>467</v>
      </c>
      <c r="B401" s="1" t="s">
        <v>20</v>
      </c>
      <c r="C401" s="1" t="s">
        <v>24</v>
      </c>
      <c r="D401" s="1" t="s">
        <v>27</v>
      </c>
      <c r="E401" s="6">
        <v>46253.663194444445</v>
      </c>
      <c r="F401" s="6">
        <v>46255.469444444447</v>
      </c>
      <c r="G401" s="6">
        <v>46255.416666666664</v>
      </c>
      <c r="H401" s="6">
        <v>46255.531944444447</v>
      </c>
      <c r="I401" s="6">
        <v>46255.583333333336</v>
      </c>
      <c r="J401" s="6">
        <v>46255.602777777778</v>
      </c>
      <c r="K401" s="1" t="s">
        <v>66</v>
      </c>
      <c r="L401" s="1" t="s">
        <v>35</v>
      </c>
      <c r="M401" s="6">
        <v>46255.416666666664</v>
      </c>
      <c r="N401" s="6">
        <v>46255.652777777781</v>
      </c>
      <c r="O401" s="1">
        <v>0</v>
      </c>
      <c r="P401" s="1">
        <v>3</v>
      </c>
      <c r="Q401" s="5">
        <f t="shared" si="42"/>
        <v>0</v>
      </c>
      <c r="R401" s="5">
        <f t="shared" si="43"/>
        <v>0</v>
      </c>
      <c r="S401" s="5">
        <f t="shared" si="44"/>
        <v>1</v>
      </c>
      <c r="T401" s="5">
        <f t="shared" si="45"/>
        <v>1</v>
      </c>
      <c r="U401" s="5">
        <f t="shared" si="46"/>
        <v>0</v>
      </c>
      <c r="V401" s="5" t="str">
        <f t="shared" si="47"/>
        <v>派单超时</v>
      </c>
      <c r="W401" s="5">
        <f t="shared" si="48"/>
        <v>1</v>
      </c>
    </row>
    <row r="402" spans="1:23" ht="17.25" customHeight="1">
      <c r="A402" s="1" t="s">
        <v>468</v>
      </c>
      <c r="B402" s="1" t="s">
        <v>21</v>
      </c>
      <c r="C402" s="1" t="s">
        <v>25</v>
      </c>
      <c r="D402" s="1" t="s">
        <v>29</v>
      </c>
      <c r="E402" s="6">
        <v>46253.666666666664</v>
      </c>
      <c r="F402" s="6"/>
      <c r="G402" s="6">
        <v>46255.625</v>
      </c>
      <c r="H402" s="6"/>
      <c r="I402" s="6">
        <v>46255.833333333336</v>
      </c>
      <c r="J402" s="6"/>
      <c r="K402" s="1" t="s">
        <v>73</v>
      </c>
      <c r="L402" s="1" t="s">
        <v>35</v>
      </c>
      <c r="M402" s="6">
        <v>46255.625</v>
      </c>
      <c r="N402" s="6"/>
      <c r="O402" s="1">
        <v>1</v>
      </c>
      <c r="P402" s="1"/>
      <c r="Q402" s="5">
        <f t="shared" si="42"/>
        <v>0</v>
      </c>
      <c r="R402" s="5">
        <f t="shared" si="43"/>
        <v>0</v>
      </c>
      <c r="S402" s="5">
        <f t="shared" si="44"/>
        <v>1</v>
      </c>
      <c r="T402" s="5">
        <f t="shared" si="45"/>
        <v>0</v>
      </c>
      <c r="U402" s="5">
        <f t="shared" si="46"/>
        <v>1</v>
      </c>
      <c r="V402" s="5" t="str">
        <f t="shared" si="47"/>
        <v>派单超时</v>
      </c>
      <c r="W402" s="5">
        <f t="shared" si="48"/>
        <v>1</v>
      </c>
    </row>
    <row r="403" spans="1:23" ht="17.25" customHeight="1">
      <c r="A403" s="1" t="s">
        <v>469</v>
      </c>
      <c r="B403" s="1" t="s">
        <v>20</v>
      </c>
      <c r="C403" s="1" t="s">
        <v>24</v>
      </c>
      <c r="D403" s="1" t="s">
        <v>28</v>
      </c>
      <c r="E403" s="6">
        <v>46253.673611111109</v>
      </c>
      <c r="F403" s="6">
        <v>46253.775000000001</v>
      </c>
      <c r="G403" s="6">
        <v>46254.625</v>
      </c>
      <c r="H403" s="6">
        <v>46254.602083333331</v>
      </c>
      <c r="I403" s="6">
        <v>46254.791666666664</v>
      </c>
      <c r="J403" s="6">
        <v>46254.70416666667</v>
      </c>
      <c r="K403" s="1" t="s">
        <v>66</v>
      </c>
      <c r="L403" s="1" t="s">
        <v>34</v>
      </c>
      <c r="M403" s="6"/>
      <c r="N403" s="6"/>
      <c r="O403" s="1">
        <v>0</v>
      </c>
      <c r="P403" s="1">
        <v>4</v>
      </c>
      <c r="Q403" s="5">
        <f t="shared" si="42"/>
        <v>1</v>
      </c>
      <c r="R403" s="5">
        <f t="shared" si="43"/>
        <v>1</v>
      </c>
      <c r="S403" s="5">
        <f t="shared" si="44"/>
        <v>0</v>
      </c>
      <c r="T403" s="5">
        <f t="shared" si="45"/>
        <v>0</v>
      </c>
      <c r="U403" s="5">
        <f t="shared" si="46"/>
        <v>0</v>
      </c>
      <c r="V403" s="5" t="str">
        <f t="shared" si="47"/>
        <v>无</v>
      </c>
      <c r="W403" s="5">
        <f t="shared" si="48"/>
        <v>1</v>
      </c>
    </row>
    <row r="404" spans="1:23" ht="17.25" customHeight="1">
      <c r="A404" s="1" t="s">
        <v>470</v>
      </c>
      <c r="B404" s="1" t="s">
        <v>22</v>
      </c>
      <c r="C404" s="1" t="s">
        <v>26</v>
      </c>
      <c r="D404" s="1" t="s">
        <v>31</v>
      </c>
      <c r="E404" s="6">
        <v>46253.677083333336</v>
      </c>
      <c r="F404" s="6">
        <v>46253.841666666667</v>
      </c>
      <c r="G404" s="6">
        <v>46254.5</v>
      </c>
      <c r="H404" s="6">
        <v>46254.462500000001</v>
      </c>
      <c r="I404" s="6">
        <v>46254.625</v>
      </c>
      <c r="J404" s="6">
        <v>46254.552777777775</v>
      </c>
      <c r="K404" s="1" t="s">
        <v>66</v>
      </c>
      <c r="L404" s="1" t="s">
        <v>34</v>
      </c>
      <c r="M404" s="6"/>
      <c r="N404" s="6"/>
      <c r="O404" s="1">
        <v>0</v>
      </c>
      <c r="P404" s="1">
        <v>4</v>
      </c>
      <c r="Q404" s="5">
        <f t="shared" si="42"/>
        <v>1</v>
      </c>
      <c r="R404" s="5">
        <f t="shared" si="43"/>
        <v>1</v>
      </c>
      <c r="S404" s="5">
        <f t="shared" si="44"/>
        <v>0</v>
      </c>
      <c r="T404" s="5">
        <f t="shared" si="45"/>
        <v>0</v>
      </c>
      <c r="U404" s="5">
        <f t="shared" si="46"/>
        <v>0</v>
      </c>
      <c r="V404" s="5" t="str">
        <f t="shared" si="47"/>
        <v>无</v>
      </c>
      <c r="W404" s="5">
        <f t="shared" si="48"/>
        <v>1</v>
      </c>
    </row>
    <row r="405" spans="1:23" ht="17.25" customHeight="1">
      <c r="A405" s="1" t="s">
        <v>471</v>
      </c>
      <c r="B405" s="1" t="s">
        <v>21</v>
      </c>
      <c r="C405" s="1" t="s">
        <v>24</v>
      </c>
      <c r="D405" s="1" t="s">
        <v>30</v>
      </c>
      <c r="E405" s="6">
        <v>46253.677083333336</v>
      </c>
      <c r="F405" s="6">
        <v>46253.818749999999</v>
      </c>
      <c r="G405" s="6">
        <v>46255.416666666664</v>
      </c>
      <c r="H405" s="6">
        <v>46255.390277777777</v>
      </c>
      <c r="I405" s="6">
        <v>46255.583333333336</v>
      </c>
      <c r="J405" s="6">
        <v>46255.602777777778</v>
      </c>
      <c r="K405" s="1" t="s">
        <v>66</v>
      </c>
      <c r="L405" s="1" t="s">
        <v>37</v>
      </c>
      <c r="M405" s="6">
        <v>46255.583333333336</v>
      </c>
      <c r="N405" s="6">
        <v>46255.838194444441</v>
      </c>
      <c r="O405" s="1">
        <v>0</v>
      </c>
      <c r="P405" s="1">
        <v>4</v>
      </c>
      <c r="Q405" s="5">
        <f t="shared" si="42"/>
        <v>1</v>
      </c>
      <c r="R405" s="5">
        <f t="shared" si="43"/>
        <v>0</v>
      </c>
      <c r="S405" s="5">
        <f t="shared" si="44"/>
        <v>1</v>
      </c>
      <c r="T405" s="5">
        <f t="shared" si="45"/>
        <v>1</v>
      </c>
      <c r="U405" s="5">
        <f t="shared" si="46"/>
        <v>0</v>
      </c>
      <c r="V405" s="5" t="str">
        <f t="shared" si="47"/>
        <v>完工超时</v>
      </c>
      <c r="W405" s="5">
        <f t="shared" si="48"/>
        <v>1</v>
      </c>
    </row>
    <row r="406" spans="1:23" ht="17.25" customHeight="1">
      <c r="A406" s="1" t="s">
        <v>472</v>
      </c>
      <c r="B406" s="1" t="s">
        <v>20</v>
      </c>
      <c r="C406" s="1" t="s">
        <v>25</v>
      </c>
      <c r="D406" s="1" t="s">
        <v>27</v>
      </c>
      <c r="E406" s="6">
        <v>46253.680555555555</v>
      </c>
      <c r="F406" s="6">
        <v>46253.818055555559</v>
      </c>
      <c r="G406" s="6">
        <v>46254.625</v>
      </c>
      <c r="H406" s="6">
        <v>46254.60833333333</v>
      </c>
      <c r="I406" s="6">
        <v>46254.833333333336</v>
      </c>
      <c r="J406" s="6">
        <v>46254.680555555555</v>
      </c>
      <c r="K406" s="1" t="s">
        <v>66</v>
      </c>
      <c r="L406" s="1" t="s">
        <v>34</v>
      </c>
      <c r="M406" s="6"/>
      <c r="N406" s="6"/>
      <c r="O406" s="1">
        <v>0</v>
      </c>
      <c r="P406" s="1">
        <v>5</v>
      </c>
      <c r="Q406" s="5">
        <f t="shared" si="42"/>
        <v>1</v>
      </c>
      <c r="R406" s="5">
        <f t="shared" si="43"/>
        <v>1</v>
      </c>
      <c r="S406" s="5">
        <f t="shared" si="44"/>
        <v>0</v>
      </c>
      <c r="T406" s="5">
        <f t="shared" si="45"/>
        <v>0</v>
      </c>
      <c r="U406" s="5">
        <f t="shared" si="46"/>
        <v>0</v>
      </c>
      <c r="V406" s="5" t="str">
        <f t="shared" si="47"/>
        <v>无</v>
      </c>
      <c r="W406" s="5">
        <f t="shared" si="48"/>
        <v>1</v>
      </c>
    </row>
    <row r="407" spans="1:23" ht="17.25" customHeight="1">
      <c r="A407" s="1" t="s">
        <v>473</v>
      </c>
      <c r="B407" s="1" t="s">
        <v>20</v>
      </c>
      <c r="C407" s="1" t="s">
        <v>25</v>
      </c>
      <c r="D407" s="1" t="s">
        <v>28</v>
      </c>
      <c r="E407" s="6">
        <v>46253.690972222219</v>
      </c>
      <c r="F407" s="6">
        <v>46253.758333333331</v>
      </c>
      <c r="G407" s="6">
        <v>46254.708333333336</v>
      </c>
      <c r="H407" s="6">
        <v>46254.675000000003</v>
      </c>
      <c r="I407" s="6">
        <v>46254.916666666664</v>
      </c>
      <c r="J407" s="6">
        <v>46254.756249999999</v>
      </c>
      <c r="K407" s="1" t="s">
        <v>66</v>
      </c>
      <c r="L407" s="1" t="s">
        <v>34</v>
      </c>
      <c r="M407" s="6"/>
      <c r="N407" s="6"/>
      <c r="O407" s="1">
        <v>0</v>
      </c>
      <c r="P407" s="1">
        <v>5</v>
      </c>
      <c r="Q407" s="5">
        <f t="shared" si="42"/>
        <v>1</v>
      </c>
      <c r="R407" s="5">
        <f t="shared" si="43"/>
        <v>1</v>
      </c>
      <c r="S407" s="5">
        <f t="shared" si="44"/>
        <v>0</v>
      </c>
      <c r="T407" s="5">
        <f t="shared" si="45"/>
        <v>0</v>
      </c>
      <c r="U407" s="5">
        <f t="shared" si="46"/>
        <v>0</v>
      </c>
      <c r="V407" s="5" t="str">
        <f t="shared" si="47"/>
        <v>无</v>
      </c>
      <c r="W407" s="5">
        <f t="shared" si="48"/>
        <v>1</v>
      </c>
    </row>
    <row r="408" spans="1:23" ht="17.25" customHeight="1">
      <c r="A408" s="1" t="s">
        <v>474</v>
      </c>
      <c r="B408" s="1" t="s">
        <v>21</v>
      </c>
      <c r="C408" s="1" t="s">
        <v>24</v>
      </c>
      <c r="D408" s="1" t="s">
        <v>30</v>
      </c>
      <c r="E408" s="6">
        <v>46253.690972222219</v>
      </c>
      <c r="F408" s="6">
        <v>46253.82708333333</v>
      </c>
      <c r="G408" s="6">
        <v>46256.625</v>
      </c>
      <c r="H408" s="6">
        <v>46256.609722222223</v>
      </c>
      <c r="I408" s="6">
        <v>46256.791666666664</v>
      </c>
      <c r="J408" s="6">
        <v>46256.675694444442</v>
      </c>
      <c r="K408" s="1" t="s">
        <v>66</v>
      </c>
      <c r="L408" s="1" t="s">
        <v>34</v>
      </c>
      <c r="M408" s="6"/>
      <c r="N408" s="6"/>
      <c r="O408" s="1">
        <v>0</v>
      </c>
      <c r="P408" s="1">
        <v>5</v>
      </c>
      <c r="Q408" s="5">
        <f t="shared" si="42"/>
        <v>1</v>
      </c>
      <c r="R408" s="5">
        <f t="shared" si="43"/>
        <v>1</v>
      </c>
      <c r="S408" s="5">
        <f t="shared" si="44"/>
        <v>0</v>
      </c>
      <c r="T408" s="5">
        <f t="shared" si="45"/>
        <v>0</v>
      </c>
      <c r="U408" s="5">
        <f t="shared" si="46"/>
        <v>0</v>
      </c>
      <c r="V408" s="5" t="str">
        <f t="shared" si="47"/>
        <v>无</v>
      </c>
      <c r="W408" s="5">
        <f t="shared" si="48"/>
        <v>1</v>
      </c>
    </row>
    <row r="409" spans="1:23" ht="17.25" customHeight="1">
      <c r="A409" s="1" t="s">
        <v>475</v>
      </c>
      <c r="B409" s="1" t="s">
        <v>21</v>
      </c>
      <c r="C409" s="1" t="s">
        <v>25</v>
      </c>
      <c r="D409" s="1" t="s">
        <v>30</v>
      </c>
      <c r="E409" s="6">
        <v>46253.701388888891</v>
      </c>
      <c r="F409" s="6">
        <v>46253.84097222222</v>
      </c>
      <c r="G409" s="6">
        <v>46255.708333333336</v>
      </c>
      <c r="H409" s="6">
        <v>46255.720833333333</v>
      </c>
      <c r="I409" s="6">
        <v>46255.916666666664</v>
      </c>
      <c r="J409" s="6">
        <v>46255.784722222219</v>
      </c>
      <c r="K409" s="1" t="s">
        <v>66</v>
      </c>
      <c r="L409" s="1" t="s">
        <v>36</v>
      </c>
      <c r="M409" s="6">
        <v>46255.708333333336</v>
      </c>
      <c r="N409" s="6">
        <v>46256.006249999999</v>
      </c>
      <c r="O409" s="1">
        <v>0</v>
      </c>
      <c r="P409" s="1">
        <v>4</v>
      </c>
      <c r="Q409" s="5">
        <f t="shared" si="42"/>
        <v>0</v>
      </c>
      <c r="R409" s="5">
        <f t="shared" si="43"/>
        <v>1</v>
      </c>
      <c r="S409" s="5">
        <f t="shared" si="44"/>
        <v>1</v>
      </c>
      <c r="T409" s="5">
        <f t="shared" si="45"/>
        <v>1</v>
      </c>
      <c r="U409" s="5">
        <f t="shared" si="46"/>
        <v>0</v>
      </c>
      <c r="V409" s="5" t="str">
        <f t="shared" si="47"/>
        <v>上门超时</v>
      </c>
      <c r="W409" s="5">
        <f t="shared" si="48"/>
        <v>1</v>
      </c>
    </row>
    <row r="410" spans="1:23" ht="17.25" customHeight="1">
      <c r="A410" s="1" t="s">
        <v>476</v>
      </c>
      <c r="B410" s="1" t="s">
        <v>20</v>
      </c>
      <c r="C410" s="1" t="s">
        <v>24</v>
      </c>
      <c r="D410" s="1" t="s">
        <v>28</v>
      </c>
      <c r="E410" s="6">
        <v>46253.736111111109</v>
      </c>
      <c r="F410" s="6">
        <v>46253.783333333333</v>
      </c>
      <c r="G410" s="6">
        <v>46255.708333333336</v>
      </c>
      <c r="H410" s="6">
        <v>46255.671527777777</v>
      </c>
      <c r="I410" s="6">
        <v>46255.875</v>
      </c>
      <c r="J410" s="6">
        <v>46255.757638888892</v>
      </c>
      <c r="K410" s="1" t="s">
        <v>66</v>
      </c>
      <c r="L410" s="1" t="s">
        <v>34</v>
      </c>
      <c r="M410" s="6"/>
      <c r="N410" s="6"/>
      <c r="O410" s="1">
        <v>0</v>
      </c>
      <c r="P410" s="1">
        <v>5</v>
      </c>
      <c r="Q410" s="5">
        <f t="shared" si="42"/>
        <v>1</v>
      </c>
      <c r="R410" s="5">
        <f t="shared" si="43"/>
        <v>1</v>
      </c>
      <c r="S410" s="5">
        <f t="shared" si="44"/>
        <v>0</v>
      </c>
      <c r="T410" s="5">
        <f t="shared" si="45"/>
        <v>0</v>
      </c>
      <c r="U410" s="5">
        <f t="shared" si="46"/>
        <v>0</v>
      </c>
      <c r="V410" s="5" t="str">
        <f t="shared" si="47"/>
        <v>无</v>
      </c>
      <c r="W410" s="5">
        <f t="shared" si="48"/>
        <v>1</v>
      </c>
    </row>
    <row r="411" spans="1:23" ht="17.25" customHeight="1">
      <c r="A411" s="1" t="s">
        <v>477</v>
      </c>
      <c r="B411" s="1" t="s">
        <v>22</v>
      </c>
      <c r="C411" s="1" t="s">
        <v>25</v>
      </c>
      <c r="D411" s="1" t="s">
        <v>32</v>
      </c>
      <c r="E411" s="6">
        <v>46253.760416666664</v>
      </c>
      <c r="F411" s="6">
        <v>46253.886805555558</v>
      </c>
      <c r="G411" s="6">
        <v>46256.625</v>
      </c>
      <c r="H411" s="6">
        <v>46256.593055555553</v>
      </c>
      <c r="I411" s="6">
        <v>46256.833333333336</v>
      </c>
      <c r="J411" s="6">
        <v>46256.694444444445</v>
      </c>
      <c r="K411" s="1" t="s">
        <v>66</v>
      </c>
      <c r="L411" s="1" t="s">
        <v>34</v>
      </c>
      <c r="M411" s="6"/>
      <c r="N411" s="6"/>
      <c r="O411" s="1">
        <v>0</v>
      </c>
      <c r="P411" s="1">
        <v>4</v>
      </c>
      <c r="Q411" s="5">
        <f t="shared" si="42"/>
        <v>1</v>
      </c>
      <c r="R411" s="5">
        <f t="shared" si="43"/>
        <v>1</v>
      </c>
      <c r="S411" s="5">
        <f t="shared" si="44"/>
        <v>0</v>
      </c>
      <c r="T411" s="5">
        <f t="shared" si="45"/>
        <v>0</v>
      </c>
      <c r="U411" s="5">
        <f t="shared" si="46"/>
        <v>0</v>
      </c>
      <c r="V411" s="5" t="str">
        <f t="shared" si="47"/>
        <v>无</v>
      </c>
      <c r="W411" s="5">
        <f t="shared" si="48"/>
        <v>1</v>
      </c>
    </row>
    <row r="412" spans="1:23" ht="17.25" customHeight="1">
      <c r="A412" s="1" t="s">
        <v>478</v>
      </c>
      <c r="B412" s="1" t="s">
        <v>20</v>
      </c>
      <c r="C412" s="1" t="s">
        <v>24</v>
      </c>
      <c r="D412" s="1" t="s">
        <v>27</v>
      </c>
      <c r="E412" s="6">
        <v>46254.361111111109</v>
      </c>
      <c r="F412" s="6">
        <v>46255.472222222219</v>
      </c>
      <c r="G412" s="6">
        <v>46255.416666666664</v>
      </c>
      <c r="H412" s="6">
        <v>46255.523611111108</v>
      </c>
      <c r="I412" s="6">
        <v>46255.583333333336</v>
      </c>
      <c r="J412" s="6">
        <v>46255.571527777778</v>
      </c>
      <c r="K412" s="1" t="s">
        <v>66</v>
      </c>
      <c r="L412" s="1" t="s">
        <v>35</v>
      </c>
      <c r="M412" s="6">
        <v>46255.416666666664</v>
      </c>
      <c r="N412" s="6">
        <v>46255.8</v>
      </c>
      <c r="O412" s="1">
        <v>0</v>
      </c>
      <c r="P412" s="1"/>
      <c r="Q412" s="5">
        <f t="shared" si="42"/>
        <v>0</v>
      </c>
      <c r="R412" s="5">
        <f t="shared" si="43"/>
        <v>1</v>
      </c>
      <c r="S412" s="5">
        <f t="shared" si="44"/>
        <v>1</v>
      </c>
      <c r="T412" s="5">
        <f t="shared" si="45"/>
        <v>1</v>
      </c>
      <c r="U412" s="5">
        <f t="shared" si="46"/>
        <v>0</v>
      </c>
      <c r="V412" s="5" t="str">
        <f t="shared" si="47"/>
        <v>派单超时</v>
      </c>
      <c r="W412" s="5">
        <f t="shared" si="48"/>
        <v>1</v>
      </c>
    </row>
    <row r="413" spans="1:23" ht="17.25" customHeight="1">
      <c r="A413" s="1" t="s">
        <v>479</v>
      </c>
      <c r="B413" s="1" t="s">
        <v>20</v>
      </c>
      <c r="C413" s="1" t="s">
        <v>25</v>
      </c>
      <c r="D413" s="1" t="s">
        <v>28</v>
      </c>
      <c r="E413" s="6">
        <v>46254.381944444445</v>
      </c>
      <c r="F413" s="6">
        <v>46254.48333333333</v>
      </c>
      <c r="G413" s="6">
        <v>46256.416666666664</v>
      </c>
      <c r="H413" s="6">
        <v>46256.365972222222</v>
      </c>
      <c r="I413" s="6">
        <v>46256.625</v>
      </c>
      <c r="J413" s="6">
        <v>46256.444444444445</v>
      </c>
      <c r="K413" s="1" t="s">
        <v>66</v>
      </c>
      <c r="L413" s="1" t="s">
        <v>34</v>
      </c>
      <c r="M413" s="6"/>
      <c r="N413" s="6"/>
      <c r="O413" s="1">
        <v>0</v>
      </c>
      <c r="P413" s="1"/>
      <c r="Q413" s="5">
        <f t="shared" si="42"/>
        <v>1</v>
      </c>
      <c r="R413" s="5">
        <f t="shared" si="43"/>
        <v>1</v>
      </c>
      <c r="S413" s="5">
        <f t="shared" si="44"/>
        <v>0</v>
      </c>
      <c r="T413" s="5">
        <f t="shared" si="45"/>
        <v>0</v>
      </c>
      <c r="U413" s="5">
        <f t="shared" si="46"/>
        <v>0</v>
      </c>
      <c r="V413" s="5" t="str">
        <f t="shared" si="47"/>
        <v>无</v>
      </c>
      <c r="W413" s="5">
        <f t="shared" si="48"/>
        <v>1</v>
      </c>
    </row>
    <row r="414" spans="1:23" ht="17.25" customHeight="1">
      <c r="A414" s="1" t="s">
        <v>480</v>
      </c>
      <c r="B414" s="1" t="s">
        <v>22</v>
      </c>
      <c r="C414" s="1" t="s">
        <v>24</v>
      </c>
      <c r="D414" s="1" t="s">
        <v>32</v>
      </c>
      <c r="E414" s="6">
        <v>46254.392361111109</v>
      </c>
      <c r="F414" s="6">
        <v>46254.455555555556</v>
      </c>
      <c r="G414" s="6">
        <v>46256.5</v>
      </c>
      <c r="H414" s="6">
        <v>46256.470138888886</v>
      </c>
      <c r="I414" s="6">
        <v>46256.666666666664</v>
      </c>
      <c r="J414" s="6">
        <v>46256.567361111112</v>
      </c>
      <c r="K414" s="1" t="s">
        <v>66</v>
      </c>
      <c r="L414" s="1" t="s">
        <v>34</v>
      </c>
      <c r="M414" s="6"/>
      <c r="N414" s="6"/>
      <c r="O414" s="1">
        <v>0</v>
      </c>
      <c r="P414" s="1">
        <v>5</v>
      </c>
      <c r="Q414" s="5">
        <f t="shared" si="42"/>
        <v>1</v>
      </c>
      <c r="R414" s="5">
        <f t="shared" si="43"/>
        <v>1</v>
      </c>
      <c r="S414" s="5">
        <f t="shared" si="44"/>
        <v>0</v>
      </c>
      <c r="T414" s="5">
        <f t="shared" si="45"/>
        <v>0</v>
      </c>
      <c r="U414" s="5">
        <f t="shared" si="46"/>
        <v>0</v>
      </c>
      <c r="V414" s="5" t="str">
        <f t="shared" si="47"/>
        <v>无</v>
      </c>
      <c r="W414" s="5">
        <f t="shared" si="48"/>
        <v>1</v>
      </c>
    </row>
    <row r="415" spans="1:23" ht="17.25" customHeight="1">
      <c r="A415" s="1" t="s">
        <v>481</v>
      </c>
      <c r="B415" s="1" t="s">
        <v>20</v>
      </c>
      <c r="C415" s="1" t="s">
        <v>25</v>
      </c>
      <c r="D415" s="1" t="s">
        <v>27</v>
      </c>
      <c r="E415" s="6">
        <v>46254.409722222219</v>
      </c>
      <c r="F415" s="6">
        <v>46254.542361111111</v>
      </c>
      <c r="G415" s="6">
        <v>46255.416666666664</v>
      </c>
      <c r="H415" s="6">
        <v>46255.404166666667</v>
      </c>
      <c r="I415" s="6">
        <v>46255.625</v>
      </c>
      <c r="J415" s="6">
        <v>46255.495138888888</v>
      </c>
      <c r="K415" s="1" t="s">
        <v>66</v>
      </c>
      <c r="L415" s="1" t="s">
        <v>34</v>
      </c>
      <c r="M415" s="6"/>
      <c r="N415" s="6"/>
      <c r="O415" s="1">
        <v>0</v>
      </c>
      <c r="P415" s="1">
        <v>4</v>
      </c>
      <c r="Q415" s="5">
        <f t="shared" si="42"/>
        <v>1</v>
      </c>
      <c r="R415" s="5">
        <f t="shared" si="43"/>
        <v>1</v>
      </c>
      <c r="S415" s="5">
        <f t="shared" si="44"/>
        <v>0</v>
      </c>
      <c r="T415" s="5">
        <f t="shared" si="45"/>
        <v>0</v>
      </c>
      <c r="U415" s="5">
        <f t="shared" si="46"/>
        <v>0</v>
      </c>
      <c r="V415" s="5" t="str">
        <f t="shared" si="47"/>
        <v>无</v>
      </c>
      <c r="W415" s="5">
        <f t="shared" si="48"/>
        <v>1</v>
      </c>
    </row>
    <row r="416" spans="1:23" ht="17.25" customHeight="1">
      <c r="A416" s="1" t="s">
        <v>482</v>
      </c>
      <c r="B416" s="1" t="s">
        <v>20</v>
      </c>
      <c r="C416" s="1" t="s">
        <v>25</v>
      </c>
      <c r="D416" s="1" t="s">
        <v>28</v>
      </c>
      <c r="E416" s="6">
        <v>46254.413194444445</v>
      </c>
      <c r="F416" s="6">
        <v>46254.509027777778</v>
      </c>
      <c r="G416" s="6">
        <v>46256.5</v>
      </c>
      <c r="H416" s="6">
        <v>46256.46875</v>
      </c>
      <c r="I416" s="6">
        <v>46256.708333333336</v>
      </c>
      <c r="J416" s="6">
        <v>46256.554166666669</v>
      </c>
      <c r="K416" s="1" t="s">
        <v>66</v>
      </c>
      <c r="L416" s="1" t="s">
        <v>34</v>
      </c>
      <c r="M416" s="6"/>
      <c r="N416" s="6"/>
      <c r="O416" s="1">
        <v>0</v>
      </c>
      <c r="P416" s="1">
        <v>3</v>
      </c>
      <c r="Q416" s="5">
        <f t="shared" si="42"/>
        <v>1</v>
      </c>
      <c r="R416" s="5">
        <f t="shared" si="43"/>
        <v>1</v>
      </c>
      <c r="S416" s="5">
        <f t="shared" si="44"/>
        <v>0</v>
      </c>
      <c r="T416" s="5">
        <f t="shared" si="45"/>
        <v>0</v>
      </c>
      <c r="U416" s="5">
        <f t="shared" si="46"/>
        <v>0</v>
      </c>
      <c r="V416" s="5" t="str">
        <f t="shared" si="47"/>
        <v>无</v>
      </c>
      <c r="W416" s="5">
        <f t="shared" si="48"/>
        <v>1</v>
      </c>
    </row>
    <row r="417" spans="1:23" ht="17.25" customHeight="1">
      <c r="A417" s="1" t="s">
        <v>483</v>
      </c>
      <c r="B417" s="1" t="s">
        <v>22</v>
      </c>
      <c r="C417" s="1" t="s">
        <v>26</v>
      </c>
      <c r="D417" s="1" t="s">
        <v>31</v>
      </c>
      <c r="E417" s="6">
        <v>46254.420138888891</v>
      </c>
      <c r="F417" s="6">
        <v>46254.532638888886</v>
      </c>
      <c r="G417" s="6">
        <v>46256.416666666664</v>
      </c>
      <c r="H417" s="6">
        <v>46256.481944444444</v>
      </c>
      <c r="I417" s="6">
        <v>46256.541666666664</v>
      </c>
      <c r="J417" s="6">
        <v>46256.518055555556</v>
      </c>
      <c r="K417" s="1" t="s">
        <v>66</v>
      </c>
      <c r="L417" s="1" t="s">
        <v>36</v>
      </c>
      <c r="M417" s="6">
        <v>46256.416666666664</v>
      </c>
      <c r="N417" s="6">
        <v>46256.747916666667</v>
      </c>
      <c r="O417" s="1">
        <v>1</v>
      </c>
      <c r="P417" s="1">
        <v>1</v>
      </c>
      <c r="Q417" s="5">
        <f t="shared" si="42"/>
        <v>0</v>
      </c>
      <c r="R417" s="5">
        <f t="shared" si="43"/>
        <v>1</v>
      </c>
      <c r="S417" s="5">
        <f t="shared" si="44"/>
        <v>1</v>
      </c>
      <c r="T417" s="5">
        <f t="shared" si="45"/>
        <v>1</v>
      </c>
      <c r="U417" s="5">
        <f t="shared" si="46"/>
        <v>0</v>
      </c>
      <c r="V417" s="5" t="str">
        <f t="shared" si="47"/>
        <v>上门超时</v>
      </c>
      <c r="W417" s="5">
        <f t="shared" si="48"/>
        <v>1</v>
      </c>
    </row>
    <row r="418" spans="1:23" ht="17.25" customHeight="1">
      <c r="A418" s="1" t="s">
        <v>484</v>
      </c>
      <c r="B418" s="1" t="s">
        <v>22</v>
      </c>
      <c r="C418" s="1" t="s">
        <v>25</v>
      </c>
      <c r="D418" s="1" t="s">
        <v>31</v>
      </c>
      <c r="E418" s="6">
        <v>46254.423611111109</v>
      </c>
      <c r="F418" s="6">
        <v>46254.448611111111</v>
      </c>
      <c r="G418" s="6">
        <v>46255.5</v>
      </c>
      <c r="H418" s="6">
        <v>46255.456250000003</v>
      </c>
      <c r="I418" s="6">
        <v>46255.708333333336</v>
      </c>
      <c r="J418" s="6">
        <v>46255.803472222222</v>
      </c>
      <c r="K418" s="1" t="s">
        <v>66</v>
      </c>
      <c r="L418" s="1" t="s">
        <v>37</v>
      </c>
      <c r="M418" s="6">
        <v>46255.708333333336</v>
      </c>
      <c r="N418" s="6"/>
      <c r="O418" s="1">
        <v>0</v>
      </c>
      <c r="P418" s="1">
        <v>4</v>
      </c>
      <c r="Q418" s="5">
        <f t="shared" si="42"/>
        <v>1</v>
      </c>
      <c r="R418" s="5">
        <f t="shared" si="43"/>
        <v>0</v>
      </c>
      <c r="S418" s="5">
        <f t="shared" si="44"/>
        <v>1</v>
      </c>
      <c r="T418" s="5">
        <f t="shared" si="45"/>
        <v>0</v>
      </c>
      <c r="U418" s="5">
        <f t="shared" si="46"/>
        <v>1</v>
      </c>
      <c r="V418" s="5" t="str">
        <f t="shared" si="47"/>
        <v>完工超时</v>
      </c>
      <c r="W418" s="5">
        <f t="shared" si="48"/>
        <v>1</v>
      </c>
    </row>
    <row r="419" spans="1:23" ht="17.25" customHeight="1">
      <c r="A419" s="1" t="s">
        <v>485</v>
      </c>
      <c r="B419" s="1" t="s">
        <v>20</v>
      </c>
      <c r="C419" s="1" t="s">
        <v>24</v>
      </c>
      <c r="D419" s="1" t="s">
        <v>27</v>
      </c>
      <c r="E419" s="6">
        <v>46254.427083333336</v>
      </c>
      <c r="F419" s="6">
        <v>46254.470833333333</v>
      </c>
      <c r="G419" s="6">
        <v>46255.416666666664</v>
      </c>
      <c r="H419" s="6">
        <v>46255.368055555555</v>
      </c>
      <c r="I419" s="6">
        <v>46255.583333333336</v>
      </c>
      <c r="J419" s="6">
        <v>46255.461805555555</v>
      </c>
      <c r="K419" s="1" t="s">
        <v>66</v>
      </c>
      <c r="L419" s="1" t="s">
        <v>34</v>
      </c>
      <c r="M419" s="6"/>
      <c r="N419" s="6"/>
      <c r="O419" s="1">
        <v>0</v>
      </c>
      <c r="P419" s="1"/>
      <c r="Q419" s="5">
        <f t="shared" si="42"/>
        <v>1</v>
      </c>
      <c r="R419" s="5">
        <f t="shared" si="43"/>
        <v>1</v>
      </c>
      <c r="S419" s="5">
        <f t="shared" si="44"/>
        <v>0</v>
      </c>
      <c r="T419" s="5">
        <f t="shared" si="45"/>
        <v>0</v>
      </c>
      <c r="U419" s="5">
        <f t="shared" si="46"/>
        <v>0</v>
      </c>
      <c r="V419" s="5" t="str">
        <f t="shared" si="47"/>
        <v>无</v>
      </c>
      <c r="W419" s="5">
        <f t="shared" si="48"/>
        <v>1</v>
      </c>
    </row>
    <row r="420" spans="1:23" ht="17.25" customHeight="1">
      <c r="A420" s="1" t="s">
        <v>486</v>
      </c>
      <c r="B420" s="1" t="s">
        <v>21</v>
      </c>
      <c r="C420" s="1" t="s">
        <v>24</v>
      </c>
      <c r="D420" s="1" t="s">
        <v>30</v>
      </c>
      <c r="E420" s="6">
        <v>46254.427083333336</v>
      </c>
      <c r="F420" s="6">
        <v>46254.540972222225</v>
      </c>
      <c r="G420" s="6">
        <v>46255.5</v>
      </c>
      <c r="H420" s="6">
        <v>46255.450694444444</v>
      </c>
      <c r="I420" s="6">
        <v>46255.666666666664</v>
      </c>
      <c r="J420" s="6">
        <v>46255.538194444445</v>
      </c>
      <c r="K420" s="1" t="s">
        <v>66</v>
      </c>
      <c r="L420" s="1" t="s">
        <v>34</v>
      </c>
      <c r="M420" s="6"/>
      <c r="N420" s="6"/>
      <c r="O420" s="1">
        <v>0</v>
      </c>
      <c r="P420" s="1"/>
      <c r="Q420" s="5">
        <f t="shared" si="42"/>
        <v>1</v>
      </c>
      <c r="R420" s="5">
        <f t="shared" si="43"/>
        <v>1</v>
      </c>
      <c r="S420" s="5">
        <f t="shared" si="44"/>
        <v>0</v>
      </c>
      <c r="T420" s="5">
        <f t="shared" si="45"/>
        <v>0</v>
      </c>
      <c r="U420" s="5">
        <f t="shared" si="46"/>
        <v>0</v>
      </c>
      <c r="V420" s="5" t="str">
        <f t="shared" si="47"/>
        <v>无</v>
      </c>
      <c r="W420" s="5">
        <f t="shared" si="48"/>
        <v>1</v>
      </c>
    </row>
    <row r="421" spans="1:23" ht="17.25" customHeight="1">
      <c r="A421" s="1" t="s">
        <v>487</v>
      </c>
      <c r="B421" s="1" t="s">
        <v>21</v>
      </c>
      <c r="C421" s="1" t="s">
        <v>25</v>
      </c>
      <c r="D421" s="1" t="s">
        <v>30</v>
      </c>
      <c r="E421" s="6">
        <v>46254.430555555555</v>
      </c>
      <c r="F421" s="6">
        <v>46254.45208333333</v>
      </c>
      <c r="G421" s="6">
        <v>46256.416666666664</v>
      </c>
      <c r="H421" s="6">
        <v>46256.381944444445</v>
      </c>
      <c r="I421" s="6">
        <v>46256.625</v>
      </c>
      <c r="J421" s="6">
        <v>46256.416666666664</v>
      </c>
      <c r="K421" s="1" t="s">
        <v>66</v>
      </c>
      <c r="L421" s="1" t="s">
        <v>34</v>
      </c>
      <c r="M421" s="6"/>
      <c r="N421" s="6"/>
      <c r="O421" s="1">
        <v>0</v>
      </c>
      <c r="P421" s="1">
        <v>4</v>
      </c>
      <c r="Q421" s="5">
        <f t="shared" si="42"/>
        <v>1</v>
      </c>
      <c r="R421" s="5">
        <f t="shared" si="43"/>
        <v>1</v>
      </c>
      <c r="S421" s="5">
        <f t="shared" si="44"/>
        <v>0</v>
      </c>
      <c r="T421" s="5">
        <f t="shared" si="45"/>
        <v>0</v>
      </c>
      <c r="U421" s="5">
        <f t="shared" si="46"/>
        <v>0</v>
      </c>
      <c r="V421" s="5" t="str">
        <f t="shared" si="47"/>
        <v>无</v>
      </c>
      <c r="W421" s="5">
        <f t="shared" si="48"/>
        <v>1</v>
      </c>
    </row>
    <row r="422" spans="1:23" ht="17.25" customHeight="1">
      <c r="A422" s="1" t="s">
        <v>488</v>
      </c>
      <c r="B422" s="1" t="s">
        <v>22</v>
      </c>
      <c r="C422" s="1" t="s">
        <v>25</v>
      </c>
      <c r="D422" s="1" t="s">
        <v>31</v>
      </c>
      <c r="E422" s="6">
        <v>46254.486111111109</v>
      </c>
      <c r="F422" s="6">
        <v>46254.636111111111</v>
      </c>
      <c r="G422" s="6">
        <v>46255.625</v>
      </c>
      <c r="H422" s="6">
        <v>46255.613194444442</v>
      </c>
      <c r="I422" s="6">
        <v>46255.833333333336</v>
      </c>
      <c r="J422" s="6">
        <v>46255.672222222223</v>
      </c>
      <c r="K422" s="1" t="s">
        <v>66</v>
      </c>
      <c r="L422" s="1" t="s">
        <v>34</v>
      </c>
      <c r="M422" s="6"/>
      <c r="N422" s="6"/>
      <c r="O422" s="1">
        <v>0</v>
      </c>
      <c r="P422" s="1">
        <v>5</v>
      </c>
      <c r="Q422" s="5">
        <f t="shared" si="42"/>
        <v>1</v>
      </c>
      <c r="R422" s="5">
        <f t="shared" si="43"/>
        <v>1</v>
      </c>
      <c r="S422" s="5">
        <f t="shared" si="44"/>
        <v>0</v>
      </c>
      <c r="T422" s="5">
        <f t="shared" si="45"/>
        <v>0</v>
      </c>
      <c r="U422" s="5">
        <f t="shared" si="46"/>
        <v>0</v>
      </c>
      <c r="V422" s="5" t="str">
        <f t="shared" si="47"/>
        <v>无</v>
      </c>
      <c r="W422" s="5">
        <f t="shared" si="48"/>
        <v>1</v>
      </c>
    </row>
    <row r="423" spans="1:23" ht="17.25" customHeight="1">
      <c r="A423" s="1" t="s">
        <v>489</v>
      </c>
      <c r="B423" s="1" t="s">
        <v>20</v>
      </c>
      <c r="C423" s="1" t="s">
        <v>26</v>
      </c>
      <c r="D423" s="1" t="s">
        <v>28</v>
      </c>
      <c r="E423" s="6">
        <v>46254.5</v>
      </c>
      <c r="F423" s="6">
        <v>46254.570138888892</v>
      </c>
      <c r="G423" s="6">
        <v>46255.625</v>
      </c>
      <c r="H423" s="6">
        <v>46255.681250000001</v>
      </c>
      <c r="I423" s="6">
        <v>46255.75</v>
      </c>
      <c r="J423" s="6">
        <v>46255.784722222219</v>
      </c>
      <c r="K423" s="1" t="s">
        <v>66</v>
      </c>
      <c r="L423" s="1" t="s">
        <v>36</v>
      </c>
      <c r="M423" s="6">
        <v>46255.625</v>
      </c>
      <c r="N423" s="6">
        <v>46256.010416666664</v>
      </c>
      <c r="O423" s="1">
        <v>1</v>
      </c>
      <c r="P423" s="1">
        <v>2</v>
      </c>
      <c r="Q423" s="5">
        <f t="shared" si="42"/>
        <v>0</v>
      </c>
      <c r="R423" s="5">
        <f t="shared" si="43"/>
        <v>0</v>
      </c>
      <c r="S423" s="5">
        <f t="shared" si="44"/>
        <v>1</v>
      </c>
      <c r="T423" s="5">
        <f t="shared" si="45"/>
        <v>1</v>
      </c>
      <c r="U423" s="5">
        <f t="shared" si="46"/>
        <v>0</v>
      </c>
      <c r="V423" s="5" t="str">
        <f t="shared" si="47"/>
        <v>上门超时</v>
      </c>
      <c r="W423" s="5">
        <f t="shared" si="48"/>
        <v>1</v>
      </c>
    </row>
    <row r="424" spans="1:23" ht="17.25" customHeight="1">
      <c r="A424" s="1" t="s">
        <v>490</v>
      </c>
      <c r="B424" s="1" t="s">
        <v>22</v>
      </c>
      <c r="C424" s="1" t="s">
        <v>25</v>
      </c>
      <c r="D424" s="1" t="s">
        <v>31</v>
      </c>
      <c r="E424" s="6">
        <v>46254.510416666664</v>
      </c>
      <c r="F424" s="6">
        <v>46254.652777777781</v>
      </c>
      <c r="G424" s="6">
        <v>46256.416666666664</v>
      </c>
      <c r="H424" s="6">
        <v>46256.375694444447</v>
      </c>
      <c r="I424" s="6">
        <v>46256.625</v>
      </c>
      <c r="J424" s="6">
        <v>46256.457638888889</v>
      </c>
      <c r="K424" s="1" t="s">
        <v>66</v>
      </c>
      <c r="L424" s="1" t="s">
        <v>34</v>
      </c>
      <c r="M424" s="6"/>
      <c r="N424" s="6"/>
      <c r="O424" s="1">
        <v>0</v>
      </c>
      <c r="P424" s="1"/>
      <c r="Q424" s="5">
        <f t="shared" si="42"/>
        <v>1</v>
      </c>
      <c r="R424" s="5">
        <f t="shared" si="43"/>
        <v>1</v>
      </c>
      <c r="S424" s="5">
        <f t="shared" si="44"/>
        <v>0</v>
      </c>
      <c r="T424" s="5">
        <f t="shared" si="45"/>
        <v>0</v>
      </c>
      <c r="U424" s="5">
        <f t="shared" si="46"/>
        <v>0</v>
      </c>
      <c r="V424" s="5" t="str">
        <f t="shared" si="47"/>
        <v>无</v>
      </c>
      <c r="W424" s="5">
        <f t="shared" si="48"/>
        <v>1</v>
      </c>
    </row>
    <row r="425" spans="1:23" ht="17.25" customHeight="1">
      <c r="A425" s="1" t="s">
        <v>491</v>
      </c>
      <c r="B425" s="1" t="s">
        <v>20</v>
      </c>
      <c r="C425" s="1" t="s">
        <v>25</v>
      </c>
      <c r="D425" s="1" t="s">
        <v>28</v>
      </c>
      <c r="E425" s="6">
        <v>46254.534722222219</v>
      </c>
      <c r="F425" s="6">
        <v>46254.648611111108</v>
      </c>
      <c r="G425" s="6">
        <v>46255.625</v>
      </c>
      <c r="H425" s="6">
        <v>46255.576388888891</v>
      </c>
      <c r="I425" s="6">
        <v>46255.833333333336</v>
      </c>
      <c r="J425" s="6">
        <v>46255.625694444447</v>
      </c>
      <c r="K425" s="1" t="s">
        <v>66</v>
      </c>
      <c r="L425" s="1" t="s">
        <v>34</v>
      </c>
      <c r="M425" s="6"/>
      <c r="N425" s="6"/>
      <c r="O425" s="1">
        <v>0</v>
      </c>
      <c r="P425" s="1">
        <v>5</v>
      </c>
      <c r="Q425" s="5">
        <f t="shared" si="42"/>
        <v>1</v>
      </c>
      <c r="R425" s="5">
        <f t="shared" si="43"/>
        <v>1</v>
      </c>
      <c r="S425" s="5">
        <f t="shared" si="44"/>
        <v>0</v>
      </c>
      <c r="T425" s="5">
        <f t="shared" si="45"/>
        <v>0</v>
      </c>
      <c r="U425" s="5">
        <f t="shared" si="46"/>
        <v>0</v>
      </c>
      <c r="V425" s="5" t="str">
        <f t="shared" si="47"/>
        <v>无</v>
      </c>
      <c r="W425" s="5">
        <f t="shared" si="48"/>
        <v>1</v>
      </c>
    </row>
    <row r="426" spans="1:23" ht="17.25" customHeight="1">
      <c r="A426" s="1" t="s">
        <v>492</v>
      </c>
      <c r="B426" s="1" t="s">
        <v>20</v>
      </c>
      <c r="C426" s="1" t="s">
        <v>26</v>
      </c>
      <c r="D426" s="1" t="s">
        <v>28</v>
      </c>
      <c r="E426" s="6">
        <v>46254.559027777781</v>
      </c>
      <c r="F426" s="6">
        <v>46254.580555555556</v>
      </c>
      <c r="G426" s="6">
        <v>46255.708333333336</v>
      </c>
      <c r="H426" s="6">
        <v>46255.669444444444</v>
      </c>
      <c r="I426" s="6">
        <v>46255.833333333336</v>
      </c>
      <c r="J426" s="6">
        <v>46255.758333333331</v>
      </c>
      <c r="K426" s="1" t="s">
        <v>66</v>
      </c>
      <c r="L426" s="1" t="s">
        <v>34</v>
      </c>
      <c r="M426" s="6"/>
      <c r="N426" s="6"/>
      <c r="O426" s="1">
        <v>0</v>
      </c>
      <c r="P426" s="1">
        <v>5</v>
      </c>
      <c r="Q426" s="5">
        <f t="shared" si="42"/>
        <v>1</v>
      </c>
      <c r="R426" s="5">
        <f t="shared" si="43"/>
        <v>1</v>
      </c>
      <c r="S426" s="5">
        <f t="shared" si="44"/>
        <v>0</v>
      </c>
      <c r="T426" s="5">
        <f t="shared" si="45"/>
        <v>0</v>
      </c>
      <c r="U426" s="5">
        <f t="shared" si="46"/>
        <v>0</v>
      </c>
      <c r="V426" s="5" t="str">
        <f t="shared" si="47"/>
        <v>无</v>
      </c>
      <c r="W426" s="5">
        <f t="shared" si="48"/>
        <v>1</v>
      </c>
    </row>
    <row r="427" spans="1:23" ht="17.25" customHeight="1">
      <c r="A427" s="1" t="s">
        <v>493</v>
      </c>
      <c r="B427" s="1" t="s">
        <v>22</v>
      </c>
      <c r="C427" s="1" t="s">
        <v>25</v>
      </c>
      <c r="D427" s="1" t="s">
        <v>32</v>
      </c>
      <c r="E427" s="6">
        <v>46254.579861111109</v>
      </c>
      <c r="F427" s="6"/>
      <c r="G427" s="6">
        <v>46256.5</v>
      </c>
      <c r="H427" s="6"/>
      <c r="I427" s="6">
        <v>46256.708333333336</v>
      </c>
      <c r="J427" s="6"/>
      <c r="K427" s="1" t="s">
        <v>73</v>
      </c>
      <c r="L427" s="1" t="s">
        <v>35</v>
      </c>
      <c r="M427" s="6">
        <v>46256.5</v>
      </c>
      <c r="N427" s="6"/>
      <c r="O427" s="1">
        <v>1</v>
      </c>
      <c r="P427" s="1"/>
      <c r="Q427" s="5">
        <f t="shared" si="42"/>
        <v>0</v>
      </c>
      <c r="R427" s="5">
        <f t="shared" si="43"/>
        <v>0</v>
      </c>
      <c r="S427" s="5">
        <f t="shared" si="44"/>
        <v>1</v>
      </c>
      <c r="T427" s="5">
        <f t="shared" si="45"/>
        <v>0</v>
      </c>
      <c r="U427" s="5">
        <f t="shared" si="46"/>
        <v>1</v>
      </c>
      <c r="V427" s="5" t="str">
        <f t="shared" si="47"/>
        <v>派单超时</v>
      </c>
      <c r="W427" s="5">
        <f t="shared" si="48"/>
        <v>1</v>
      </c>
    </row>
    <row r="428" spans="1:23" ht="17.25" customHeight="1">
      <c r="A428" s="1" t="s">
        <v>494</v>
      </c>
      <c r="B428" s="1" t="s">
        <v>20</v>
      </c>
      <c r="C428" s="1" t="s">
        <v>25</v>
      </c>
      <c r="D428" s="1" t="s">
        <v>27</v>
      </c>
      <c r="E428" s="6">
        <v>46254.586805555555</v>
      </c>
      <c r="F428" s="6">
        <v>46254.621527777781</v>
      </c>
      <c r="G428" s="6">
        <v>46255.416666666664</v>
      </c>
      <c r="H428" s="6">
        <v>46255.40625</v>
      </c>
      <c r="I428" s="6">
        <v>46255.625</v>
      </c>
      <c r="J428" s="6">
        <v>46255.457638888889</v>
      </c>
      <c r="K428" s="1" t="s">
        <v>66</v>
      </c>
      <c r="L428" s="1" t="s">
        <v>34</v>
      </c>
      <c r="M428" s="6"/>
      <c r="N428" s="6"/>
      <c r="O428" s="1">
        <v>0</v>
      </c>
      <c r="P428" s="1"/>
      <c r="Q428" s="5">
        <f t="shared" si="42"/>
        <v>1</v>
      </c>
      <c r="R428" s="5">
        <f t="shared" si="43"/>
        <v>1</v>
      </c>
      <c r="S428" s="5">
        <f t="shared" si="44"/>
        <v>0</v>
      </c>
      <c r="T428" s="5">
        <f t="shared" si="45"/>
        <v>0</v>
      </c>
      <c r="U428" s="5">
        <f t="shared" si="46"/>
        <v>0</v>
      </c>
      <c r="V428" s="5" t="str">
        <f t="shared" si="47"/>
        <v>无</v>
      </c>
      <c r="W428" s="5">
        <f t="shared" si="48"/>
        <v>1</v>
      </c>
    </row>
    <row r="429" spans="1:23" ht="17.25" customHeight="1">
      <c r="A429" s="1" t="s">
        <v>495</v>
      </c>
      <c r="B429" s="1" t="s">
        <v>20</v>
      </c>
      <c r="C429" s="1" t="s">
        <v>25</v>
      </c>
      <c r="D429" s="1" t="s">
        <v>28</v>
      </c>
      <c r="E429" s="6">
        <v>46254.604166666664</v>
      </c>
      <c r="F429" s="6">
        <v>46254.71597222222</v>
      </c>
      <c r="G429" s="6">
        <v>46255.416666666664</v>
      </c>
      <c r="H429" s="6">
        <v>46255.395833333336</v>
      </c>
      <c r="I429" s="6">
        <v>46255.625</v>
      </c>
      <c r="J429" s="6">
        <v>46255.481249999997</v>
      </c>
      <c r="K429" s="1" t="s">
        <v>66</v>
      </c>
      <c r="L429" s="1" t="s">
        <v>34</v>
      </c>
      <c r="M429" s="6"/>
      <c r="N429" s="6"/>
      <c r="O429" s="1">
        <v>0</v>
      </c>
      <c r="P429" s="1">
        <v>5</v>
      </c>
      <c r="Q429" s="5">
        <f t="shared" si="42"/>
        <v>1</v>
      </c>
      <c r="R429" s="5">
        <f t="shared" si="43"/>
        <v>1</v>
      </c>
      <c r="S429" s="5">
        <f t="shared" si="44"/>
        <v>0</v>
      </c>
      <c r="T429" s="5">
        <f t="shared" si="45"/>
        <v>0</v>
      </c>
      <c r="U429" s="5">
        <f t="shared" si="46"/>
        <v>0</v>
      </c>
      <c r="V429" s="5" t="str">
        <f t="shared" si="47"/>
        <v>无</v>
      </c>
      <c r="W429" s="5">
        <f t="shared" si="48"/>
        <v>1</v>
      </c>
    </row>
    <row r="430" spans="1:23" ht="17.25" customHeight="1">
      <c r="A430" s="1" t="s">
        <v>496</v>
      </c>
      <c r="B430" s="1" t="s">
        <v>22</v>
      </c>
      <c r="C430" s="1" t="s">
        <v>25</v>
      </c>
      <c r="D430" s="1" t="s">
        <v>32</v>
      </c>
      <c r="E430" s="6">
        <v>46254.604166666664</v>
      </c>
      <c r="F430" s="6">
        <v>46254.677083333336</v>
      </c>
      <c r="G430" s="6">
        <v>46256.625</v>
      </c>
      <c r="H430" s="6">
        <v>46256.590277777781</v>
      </c>
      <c r="I430" s="6">
        <v>46256.833333333336</v>
      </c>
      <c r="J430" s="6">
        <v>46256.679166666669</v>
      </c>
      <c r="K430" s="1" t="s">
        <v>66</v>
      </c>
      <c r="L430" s="1" t="s">
        <v>34</v>
      </c>
      <c r="M430" s="6"/>
      <c r="N430" s="6"/>
      <c r="O430" s="1">
        <v>0</v>
      </c>
      <c r="P430" s="1">
        <v>4</v>
      </c>
      <c r="Q430" s="5">
        <f t="shared" si="42"/>
        <v>1</v>
      </c>
      <c r="R430" s="5">
        <f t="shared" si="43"/>
        <v>1</v>
      </c>
      <c r="S430" s="5">
        <f t="shared" si="44"/>
        <v>0</v>
      </c>
      <c r="T430" s="5">
        <f t="shared" si="45"/>
        <v>0</v>
      </c>
      <c r="U430" s="5">
        <f t="shared" si="46"/>
        <v>0</v>
      </c>
      <c r="V430" s="5" t="str">
        <f t="shared" si="47"/>
        <v>无</v>
      </c>
      <c r="W430" s="5">
        <f t="shared" si="48"/>
        <v>1</v>
      </c>
    </row>
    <row r="431" spans="1:23" ht="17.25" customHeight="1">
      <c r="A431" s="1" t="s">
        <v>497</v>
      </c>
      <c r="B431" s="1" t="s">
        <v>20</v>
      </c>
      <c r="C431" s="1" t="s">
        <v>26</v>
      </c>
      <c r="D431" s="1" t="s">
        <v>28</v>
      </c>
      <c r="E431" s="6">
        <v>46254.618055555555</v>
      </c>
      <c r="F431" s="6">
        <v>46254.727083333331</v>
      </c>
      <c r="G431" s="6">
        <v>46255.416666666664</v>
      </c>
      <c r="H431" s="6">
        <v>46255.447916666664</v>
      </c>
      <c r="I431" s="6">
        <v>46255.541666666664</v>
      </c>
      <c r="J431" s="6">
        <v>46255.540277777778</v>
      </c>
      <c r="K431" s="1" t="s">
        <v>66</v>
      </c>
      <c r="L431" s="1" t="s">
        <v>36</v>
      </c>
      <c r="M431" s="6">
        <v>46255.416666666664</v>
      </c>
      <c r="N431" s="6">
        <v>46255.719444444447</v>
      </c>
      <c r="O431" s="1">
        <v>0</v>
      </c>
      <c r="P431" s="1"/>
      <c r="Q431" s="5">
        <f t="shared" si="42"/>
        <v>0</v>
      </c>
      <c r="R431" s="5">
        <f t="shared" si="43"/>
        <v>1</v>
      </c>
      <c r="S431" s="5">
        <f t="shared" si="44"/>
        <v>1</v>
      </c>
      <c r="T431" s="5">
        <f t="shared" si="45"/>
        <v>1</v>
      </c>
      <c r="U431" s="5">
        <f t="shared" si="46"/>
        <v>0</v>
      </c>
      <c r="V431" s="5" t="str">
        <f t="shared" si="47"/>
        <v>上门超时</v>
      </c>
      <c r="W431" s="5">
        <f t="shared" si="48"/>
        <v>1</v>
      </c>
    </row>
    <row r="432" spans="1:23" ht="17.25" customHeight="1">
      <c r="A432" s="1" t="s">
        <v>498</v>
      </c>
      <c r="B432" s="1" t="s">
        <v>20</v>
      </c>
      <c r="C432" s="1" t="s">
        <v>24</v>
      </c>
      <c r="D432" s="1" t="s">
        <v>28</v>
      </c>
      <c r="E432" s="6">
        <v>46254.680555555555</v>
      </c>
      <c r="F432" s="6">
        <v>46254.783333333333</v>
      </c>
      <c r="G432" s="6">
        <v>46256.708333333336</v>
      </c>
      <c r="H432" s="6">
        <v>46256.695138888892</v>
      </c>
      <c r="I432" s="6">
        <v>46256.875</v>
      </c>
      <c r="J432" s="6">
        <v>46256.799305555556</v>
      </c>
      <c r="K432" s="1" t="s">
        <v>66</v>
      </c>
      <c r="L432" s="1" t="s">
        <v>34</v>
      </c>
      <c r="M432" s="6"/>
      <c r="N432" s="6"/>
      <c r="O432" s="1">
        <v>0</v>
      </c>
      <c r="P432" s="1">
        <v>4</v>
      </c>
      <c r="Q432" s="5">
        <f t="shared" si="42"/>
        <v>1</v>
      </c>
      <c r="R432" s="5">
        <f t="shared" si="43"/>
        <v>1</v>
      </c>
      <c r="S432" s="5">
        <f t="shared" si="44"/>
        <v>0</v>
      </c>
      <c r="T432" s="5">
        <f t="shared" si="45"/>
        <v>0</v>
      </c>
      <c r="U432" s="5">
        <f t="shared" si="46"/>
        <v>0</v>
      </c>
      <c r="V432" s="5" t="str">
        <f t="shared" si="47"/>
        <v>无</v>
      </c>
      <c r="W432" s="5">
        <f t="shared" si="48"/>
        <v>1</v>
      </c>
    </row>
    <row r="433" spans="1:23" ht="17.25" customHeight="1">
      <c r="A433" s="1" t="s">
        <v>499</v>
      </c>
      <c r="B433" s="1" t="s">
        <v>21</v>
      </c>
      <c r="C433" s="1" t="s">
        <v>24</v>
      </c>
      <c r="D433" s="1" t="s">
        <v>29</v>
      </c>
      <c r="E433" s="6">
        <v>46254.6875</v>
      </c>
      <c r="F433" s="6">
        <v>46254.729166666664</v>
      </c>
      <c r="G433" s="6">
        <v>46257.708333333336</v>
      </c>
      <c r="H433" s="6">
        <v>46257.681944444441</v>
      </c>
      <c r="I433" s="6">
        <v>46257.875</v>
      </c>
      <c r="J433" s="6">
        <v>46257.739583333336</v>
      </c>
      <c r="K433" s="1" t="s">
        <v>66</v>
      </c>
      <c r="L433" s="1" t="s">
        <v>34</v>
      </c>
      <c r="M433" s="6"/>
      <c r="N433" s="6"/>
      <c r="O433" s="1">
        <v>0</v>
      </c>
      <c r="P433" s="1">
        <v>5</v>
      </c>
      <c r="Q433" s="5">
        <f t="shared" si="42"/>
        <v>1</v>
      </c>
      <c r="R433" s="5">
        <f t="shared" si="43"/>
        <v>1</v>
      </c>
      <c r="S433" s="5">
        <f t="shared" si="44"/>
        <v>0</v>
      </c>
      <c r="T433" s="5">
        <f t="shared" si="45"/>
        <v>0</v>
      </c>
      <c r="U433" s="5">
        <f t="shared" si="46"/>
        <v>0</v>
      </c>
      <c r="V433" s="5" t="str">
        <f t="shared" si="47"/>
        <v>无</v>
      </c>
      <c r="W433" s="5">
        <f t="shared" si="48"/>
        <v>1</v>
      </c>
    </row>
    <row r="434" spans="1:23" ht="17.25" customHeight="1">
      <c r="A434" s="1" t="s">
        <v>500</v>
      </c>
      <c r="B434" s="1" t="s">
        <v>21</v>
      </c>
      <c r="C434" s="1" t="s">
        <v>25</v>
      </c>
      <c r="D434" s="1" t="s">
        <v>29</v>
      </c>
      <c r="E434" s="6">
        <v>46254.711805555555</v>
      </c>
      <c r="F434" s="6">
        <v>46254.815972222219</v>
      </c>
      <c r="G434" s="6">
        <v>46255.625</v>
      </c>
      <c r="H434" s="6">
        <v>46255.588194444441</v>
      </c>
      <c r="I434" s="6">
        <v>46255.833333333336</v>
      </c>
      <c r="J434" s="6">
        <v>46255.636111111111</v>
      </c>
      <c r="K434" s="1" t="s">
        <v>66</v>
      </c>
      <c r="L434" s="1" t="s">
        <v>34</v>
      </c>
      <c r="M434" s="6"/>
      <c r="N434" s="6"/>
      <c r="O434" s="1">
        <v>0</v>
      </c>
      <c r="P434" s="1">
        <v>5</v>
      </c>
      <c r="Q434" s="5">
        <f t="shared" si="42"/>
        <v>1</v>
      </c>
      <c r="R434" s="5">
        <f t="shared" si="43"/>
        <v>1</v>
      </c>
      <c r="S434" s="5">
        <f t="shared" si="44"/>
        <v>0</v>
      </c>
      <c r="T434" s="5">
        <f t="shared" si="45"/>
        <v>0</v>
      </c>
      <c r="U434" s="5">
        <f t="shared" si="46"/>
        <v>0</v>
      </c>
      <c r="V434" s="5" t="str">
        <f t="shared" si="47"/>
        <v>无</v>
      </c>
      <c r="W434" s="5">
        <f t="shared" si="48"/>
        <v>1</v>
      </c>
    </row>
    <row r="435" spans="1:23" ht="17.25" customHeight="1">
      <c r="A435" s="1" t="s">
        <v>501</v>
      </c>
      <c r="B435" s="1" t="s">
        <v>22</v>
      </c>
      <c r="C435" s="1" t="s">
        <v>26</v>
      </c>
      <c r="D435" s="1" t="s">
        <v>31</v>
      </c>
      <c r="E435" s="6">
        <v>46254.732638888891</v>
      </c>
      <c r="F435" s="6">
        <v>46254.821527777778</v>
      </c>
      <c r="G435" s="6">
        <v>46256.625</v>
      </c>
      <c r="H435" s="6">
        <v>46256.580555555556</v>
      </c>
      <c r="I435" s="6">
        <v>46256.75</v>
      </c>
      <c r="J435" s="6">
        <v>46256.824305555558</v>
      </c>
      <c r="K435" s="1" t="s">
        <v>66</v>
      </c>
      <c r="L435" s="1" t="s">
        <v>37</v>
      </c>
      <c r="M435" s="6">
        <v>46256.75</v>
      </c>
      <c r="N435" s="6">
        <v>46256.938888888886</v>
      </c>
      <c r="O435" s="1">
        <v>0</v>
      </c>
      <c r="P435" s="1">
        <v>2</v>
      </c>
      <c r="Q435" s="5">
        <f t="shared" si="42"/>
        <v>1</v>
      </c>
      <c r="R435" s="5">
        <f t="shared" si="43"/>
        <v>0</v>
      </c>
      <c r="S435" s="5">
        <f t="shared" si="44"/>
        <v>1</v>
      </c>
      <c r="T435" s="5">
        <f t="shared" si="45"/>
        <v>1</v>
      </c>
      <c r="U435" s="5">
        <f t="shared" si="46"/>
        <v>0</v>
      </c>
      <c r="V435" s="5" t="str">
        <f t="shared" si="47"/>
        <v>完工超时</v>
      </c>
      <c r="W435" s="5">
        <f t="shared" si="48"/>
        <v>1</v>
      </c>
    </row>
    <row r="436" spans="1:23" ht="17.25" customHeight="1">
      <c r="A436" s="1" t="s">
        <v>502</v>
      </c>
      <c r="B436" s="1" t="s">
        <v>21</v>
      </c>
      <c r="C436" s="1" t="s">
        <v>25</v>
      </c>
      <c r="D436" s="1" t="s">
        <v>29</v>
      </c>
      <c r="E436" s="6">
        <v>46255.354166666664</v>
      </c>
      <c r="F436" s="6">
        <v>46255.385416666664</v>
      </c>
      <c r="G436" s="6">
        <v>46256.5</v>
      </c>
      <c r="H436" s="6">
        <v>46256.466666666667</v>
      </c>
      <c r="I436" s="6">
        <v>46256.708333333336</v>
      </c>
      <c r="J436" s="6">
        <v>46256.525694444441</v>
      </c>
      <c r="K436" s="1" t="s">
        <v>66</v>
      </c>
      <c r="L436" s="1" t="s">
        <v>34</v>
      </c>
      <c r="M436" s="6"/>
      <c r="N436" s="6"/>
      <c r="O436" s="1">
        <v>0</v>
      </c>
      <c r="P436" s="1">
        <v>3</v>
      </c>
      <c r="Q436" s="5">
        <f t="shared" si="42"/>
        <v>1</v>
      </c>
      <c r="R436" s="5">
        <f t="shared" si="43"/>
        <v>1</v>
      </c>
      <c r="S436" s="5">
        <f t="shared" si="44"/>
        <v>0</v>
      </c>
      <c r="T436" s="5">
        <f t="shared" si="45"/>
        <v>0</v>
      </c>
      <c r="U436" s="5">
        <f t="shared" si="46"/>
        <v>0</v>
      </c>
      <c r="V436" s="5" t="str">
        <f t="shared" si="47"/>
        <v>无</v>
      </c>
      <c r="W436" s="5">
        <f t="shared" si="48"/>
        <v>1</v>
      </c>
    </row>
    <row r="437" spans="1:23" ht="17.25" customHeight="1">
      <c r="A437" s="1" t="s">
        <v>503</v>
      </c>
      <c r="B437" s="1" t="s">
        <v>22</v>
      </c>
      <c r="C437" s="1" t="s">
        <v>25</v>
      </c>
      <c r="D437" s="1" t="s">
        <v>31</v>
      </c>
      <c r="E437" s="6">
        <v>46255.357638888891</v>
      </c>
      <c r="F437" s="6">
        <v>46255.482638888891</v>
      </c>
      <c r="G437" s="6">
        <v>46256.708333333336</v>
      </c>
      <c r="H437" s="6">
        <v>46256.757638888892</v>
      </c>
      <c r="I437" s="6">
        <v>46256.916666666664</v>
      </c>
      <c r="J437" s="6">
        <v>46256.861805555556</v>
      </c>
      <c r="K437" s="1" t="s">
        <v>66</v>
      </c>
      <c r="L437" s="1" t="s">
        <v>36</v>
      </c>
      <c r="M437" s="6">
        <v>46256.708333333336</v>
      </c>
      <c r="N437" s="6">
        <v>46256.964583333334</v>
      </c>
      <c r="O437" s="1">
        <v>0</v>
      </c>
      <c r="P437" s="1">
        <v>5</v>
      </c>
      <c r="Q437" s="5">
        <f t="shared" si="42"/>
        <v>0</v>
      </c>
      <c r="R437" s="5">
        <f t="shared" si="43"/>
        <v>1</v>
      </c>
      <c r="S437" s="5">
        <f t="shared" si="44"/>
        <v>1</v>
      </c>
      <c r="T437" s="5">
        <f t="shared" si="45"/>
        <v>1</v>
      </c>
      <c r="U437" s="5">
        <f t="shared" si="46"/>
        <v>0</v>
      </c>
      <c r="V437" s="5" t="str">
        <f t="shared" si="47"/>
        <v>上门超时</v>
      </c>
      <c r="W437" s="5">
        <f t="shared" si="48"/>
        <v>1</v>
      </c>
    </row>
    <row r="438" spans="1:23" ht="17.25" customHeight="1">
      <c r="A438" s="1" t="s">
        <v>504</v>
      </c>
      <c r="B438" s="1" t="s">
        <v>21</v>
      </c>
      <c r="C438" s="1" t="s">
        <v>24</v>
      </c>
      <c r="D438" s="1" t="s">
        <v>29</v>
      </c>
      <c r="E438" s="6">
        <v>46255.399305555555</v>
      </c>
      <c r="F438" s="6">
        <v>46255.556250000001</v>
      </c>
      <c r="G438" s="6">
        <v>46257.416666666664</v>
      </c>
      <c r="H438" s="6">
        <v>46257.364583333336</v>
      </c>
      <c r="I438" s="6">
        <v>46257.583333333336</v>
      </c>
      <c r="J438" s="6">
        <v>46257.406944444447</v>
      </c>
      <c r="K438" s="1" t="s">
        <v>66</v>
      </c>
      <c r="L438" s="1" t="s">
        <v>34</v>
      </c>
      <c r="M438" s="6"/>
      <c r="N438" s="6"/>
      <c r="O438" s="1">
        <v>0</v>
      </c>
      <c r="P438" s="1">
        <v>3</v>
      </c>
      <c r="Q438" s="5">
        <f t="shared" si="42"/>
        <v>1</v>
      </c>
      <c r="R438" s="5">
        <f t="shared" si="43"/>
        <v>1</v>
      </c>
      <c r="S438" s="5">
        <f t="shared" si="44"/>
        <v>0</v>
      </c>
      <c r="T438" s="5">
        <f t="shared" si="45"/>
        <v>0</v>
      </c>
      <c r="U438" s="5">
        <f t="shared" si="46"/>
        <v>0</v>
      </c>
      <c r="V438" s="5" t="str">
        <f t="shared" si="47"/>
        <v>无</v>
      </c>
      <c r="W438" s="5">
        <f t="shared" si="48"/>
        <v>1</v>
      </c>
    </row>
    <row r="439" spans="1:23" ht="17.25" customHeight="1">
      <c r="A439" s="1" t="s">
        <v>505</v>
      </c>
      <c r="B439" s="1" t="s">
        <v>20</v>
      </c>
      <c r="C439" s="1" t="s">
        <v>26</v>
      </c>
      <c r="D439" s="1" t="s">
        <v>27</v>
      </c>
      <c r="E439" s="6">
        <v>46255.40625</v>
      </c>
      <c r="F439" s="6">
        <v>46255.51458333333</v>
      </c>
      <c r="G439" s="6">
        <v>46258.625</v>
      </c>
      <c r="H439" s="6">
        <v>46258.611111111109</v>
      </c>
      <c r="I439" s="6">
        <v>46258.75</v>
      </c>
      <c r="J439" s="6">
        <v>46258.654861111114</v>
      </c>
      <c r="K439" s="1" t="s">
        <v>66</v>
      </c>
      <c r="L439" s="1" t="s">
        <v>34</v>
      </c>
      <c r="M439" s="6"/>
      <c r="N439" s="6"/>
      <c r="O439" s="1">
        <v>0</v>
      </c>
      <c r="P439" s="1">
        <v>4</v>
      </c>
      <c r="Q439" s="5">
        <f t="shared" si="42"/>
        <v>1</v>
      </c>
      <c r="R439" s="5">
        <f t="shared" si="43"/>
        <v>1</v>
      </c>
      <c r="S439" s="5">
        <f t="shared" si="44"/>
        <v>0</v>
      </c>
      <c r="T439" s="5">
        <f t="shared" si="45"/>
        <v>0</v>
      </c>
      <c r="U439" s="5">
        <f t="shared" si="46"/>
        <v>0</v>
      </c>
      <c r="V439" s="5" t="str">
        <f t="shared" si="47"/>
        <v>无</v>
      </c>
      <c r="W439" s="5">
        <f t="shared" si="48"/>
        <v>1</v>
      </c>
    </row>
    <row r="440" spans="1:23" ht="17.25" customHeight="1">
      <c r="A440" s="1" t="s">
        <v>506</v>
      </c>
      <c r="B440" s="1" t="s">
        <v>20</v>
      </c>
      <c r="C440" s="1" t="s">
        <v>24</v>
      </c>
      <c r="D440" s="1" t="s">
        <v>27</v>
      </c>
      <c r="E440" s="6">
        <v>46255.409722222219</v>
      </c>
      <c r="F440" s="6">
        <v>46255.494444444441</v>
      </c>
      <c r="G440" s="6">
        <v>46256.416666666664</v>
      </c>
      <c r="H440" s="6">
        <v>46256.370138888888</v>
      </c>
      <c r="I440" s="6">
        <v>46256.583333333336</v>
      </c>
      <c r="J440" s="6">
        <v>46256.4375</v>
      </c>
      <c r="K440" s="1" t="s">
        <v>66</v>
      </c>
      <c r="L440" s="1" t="s">
        <v>34</v>
      </c>
      <c r="M440" s="6"/>
      <c r="N440" s="6"/>
      <c r="O440" s="1">
        <v>0</v>
      </c>
      <c r="P440" s="1"/>
      <c r="Q440" s="5">
        <f t="shared" si="42"/>
        <v>1</v>
      </c>
      <c r="R440" s="5">
        <f t="shared" si="43"/>
        <v>1</v>
      </c>
      <c r="S440" s="5">
        <f t="shared" si="44"/>
        <v>0</v>
      </c>
      <c r="T440" s="5">
        <f t="shared" si="45"/>
        <v>0</v>
      </c>
      <c r="U440" s="5">
        <f t="shared" si="46"/>
        <v>0</v>
      </c>
      <c r="V440" s="5" t="str">
        <f t="shared" si="47"/>
        <v>无</v>
      </c>
      <c r="W440" s="5">
        <f t="shared" si="48"/>
        <v>1</v>
      </c>
    </row>
    <row r="441" spans="1:23" ht="17.25" customHeight="1">
      <c r="A441" s="1" t="s">
        <v>507</v>
      </c>
      <c r="B441" s="1" t="s">
        <v>22</v>
      </c>
      <c r="C441" s="1" t="s">
        <v>25</v>
      </c>
      <c r="D441" s="1" t="s">
        <v>31</v>
      </c>
      <c r="E441" s="6">
        <v>46255.423611111109</v>
      </c>
      <c r="F441" s="6">
        <v>46255.574305555558</v>
      </c>
      <c r="G441" s="6">
        <v>46256.5</v>
      </c>
      <c r="H441" s="6">
        <v>46256.462500000001</v>
      </c>
      <c r="I441" s="6">
        <v>46256.708333333336</v>
      </c>
      <c r="J441" s="6">
        <v>46256.825694444444</v>
      </c>
      <c r="K441" s="1" t="s">
        <v>66</v>
      </c>
      <c r="L441" s="1" t="s">
        <v>37</v>
      </c>
      <c r="M441" s="6">
        <v>46256.708333333336</v>
      </c>
      <c r="N441" s="6"/>
      <c r="O441" s="1">
        <v>0</v>
      </c>
      <c r="P441" s="1">
        <v>4</v>
      </c>
      <c r="Q441" s="5">
        <f t="shared" si="42"/>
        <v>1</v>
      </c>
      <c r="R441" s="5">
        <f t="shared" si="43"/>
        <v>0</v>
      </c>
      <c r="S441" s="5">
        <f t="shared" si="44"/>
        <v>1</v>
      </c>
      <c r="T441" s="5">
        <f t="shared" si="45"/>
        <v>0</v>
      </c>
      <c r="U441" s="5">
        <f t="shared" si="46"/>
        <v>1</v>
      </c>
      <c r="V441" s="5" t="str">
        <f t="shared" si="47"/>
        <v>完工超时</v>
      </c>
      <c r="W441" s="5">
        <f t="shared" si="48"/>
        <v>1</v>
      </c>
    </row>
    <row r="442" spans="1:23" ht="17.25" customHeight="1">
      <c r="A442" s="1" t="s">
        <v>508</v>
      </c>
      <c r="B442" s="1" t="s">
        <v>20</v>
      </c>
      <c r="C442" s="1" t="s">
        <v>25</v>
      </c>
      <c r="D442" s="1" t="s">
        <v>27</v>
      </c>
      <c r="E442" s="6">
        <v>46255.482638888891</v>
      </c>
      <c r="F442" s="6">
        <v>46255.563888888886</v>
      </c>
      <c r="G442" s="6">
        <v>46256.708333333336</v>
      </c>
      <c r="H442" s="6">
        <v>46256.674305555556</v>
      </c>
      <c r="I442" s="6">
        <v>46256.916666666664</v>
      </c>
      <c r="J442" s="6">
        <v>46256.760416666664</v>
      </c>
      <c r="K442" s="1" t="s">
        <v>66</v>
      </c>
      <c r="L442" s="1" t="s">
        <v>34</v>
      </c>
      <c r="M442" s="6"/>
      <c r="N442" s="6"/>
      <c r="O442" s="1">
        <v>0</v>
      </c>
      <c r="P442" s="1"/>
      <c r="Q442" s="5">
        <f t="shared" si="42"/>
        <v>1</v>
      </c>
      <c r="R442" s="5">
        <f t="shared" si="43"/>
        <v>1</v>
      </c>
      <c r="S442" s="5">
        <f t="shared" si="44"/>
        <v>0</v>
      </c>
      <c r="T442" s="5">
        <f t="shared" si="45"/>
        <v>0</v>
      </c>
      <c r="U442" s="5">
        <f t="shared" si="46"/>
        <v>0</v>
      </c>
      <c r="V442" s="5" t="str">
        <f t="shared" si="47"/>
        <v>无</v>
      </c>
      <c r="W442" s="5">
        <f t="shared" si="48"/>
        <v>1</v>
      </c>
    </row>
    <row r="443" spans="1:23" ht="17.25" customHeight="1">
      <c r="A443" s="1" t="s">
        <v>509</v>
      </c>
      <c r="B443" s="1" t="s">
        <v>20</v>
      </c>
      <c r="C443" s="1" t="s">
        <v>24</v>
      </c>
      <c r="D443" s="1" t="s">
        <v>28</v>
      </c>
      <c r="E443" s="6">
        <v>46255.493055555555</v>
      </c>
      <c r="F443" s="6">
        <v>46255.602777777778</v>
      </c>
      <c r="G443" s="6">
        <v>46256.5</v>
      </c>
      <c r="H443" s="6">
        <v>46256.484027777777</v>
      </c>
      <c r="I443" s="6">
        <v>46256.666666666664</v>
      </c>
      <c r="J443" s="6">
        <v>46256.540972222225</v>
      </c>
      <c r="K443" s="1" t="s">
        <v>66</v>
      </c>
      <c r="L443" s="1" t="s">
        <v>34</v>
      </c>
      <c r="M443" s="6"/>
      <c r="N443" s="6"/>
      <c r="O443" s="1">
        <v>0</v>
      </c>
      <c r="P443" s="1">
        <v>5</v>
      </c>
      <c r="Q443" s="5">
        <f t="shared" si="42"/>
        <v>1</v>
      </c>
      <c r="R443" s="5">
        <f t="shared" si="43"/>
        <v>1</v>
      </c>
      <c r="S443" s="5">
        <f t="shared" si="44"/>
        <v>0</v>
      </c>
      <c r="T443" s="5">
        <f t="shared" si="45"/>
        <v>0</v>
      </c>
      <c r="U443" s="5">
        <f t="shared" si="46"/>
        <v>0</v>
      </c>
      <c r="V443" s="5" t="str">
        <f t="shared" si="47"/>
        <v>无</v>
      </c>
      <c r="W443" s="5">
        <f t="shared" si="48"/>
        <v>1</v>
      </c>
    </row>
    <row r="444" spans="1:23" ht="17.25" customHeight="1">
      <c r="A444" s="1" t="s">
        <v>510</v>
      </c>
      <c r="B444" s="1" t="s">
        <v>22</v>
      </c>
      <c r="C444" s="1" t="s">
        <v>24</v>
      </c>
      <c r="D444" s="1" t="s">
        <v>31</v>
      </c>
      <c r="E444" s="6">
        <v>46255.565972222219</v>
      </c>
      <c r="F444" s="6">
        <v>46255.701388888891</v>
      </c>
      <c r="G444" s="6">
        <v>46256.708333333336</v>
      </c>
      <c r="H444" s="6">
        <v>46256.68472222222</v>
      </c>
      <c r="I444" s="6">
        <v>46256.875</v>
      </c>
      <c r="J444" s="6">
        <v>46256.740277777775</v>
      </c>
      <c r="K444" s="1" t="s">
        <v>66</v>
      </c>
      <c r="L444" s="1" t="s">
        <v>34</v>
      </c>
      <c r="M444" s="6"/>
      <c r="N444" s="6"/>
      <c r="O444" s="1">
        <v>0</v>
      </c>
      <c r="P444" s="1">
        <v>5</v>
      </c>
      <c r="Q444" s="5">
        <f t="shared" si="42"/>
        <v>1</v>
      </c>
      <c r="R444" s="5">
        <f t="shared" si="43"/>
        <v>1</v>
      </c>
      <c r="S444" s="5">
        <f t="shared" si="44"/>
        <v>0</v>
      </c>
      <c r="T444" s="5">
        <f t="shared" si="45"/>
        <v>0</v>
      </c>
      <c r="U444" s="5">
        <f t="shared" si="46"/>
        <v>0</v>
      </c>
      <c r="V444" s="5" t="str">
        <f t="shared" si="47"/>
        <v>无</v>
      </c>
      <c r="W444" s="5">
        <f t="shared" si="48"/>
        <v>1</v>
      </c>
    </row>
    <row r="445" spans="1:23" ht="17.25" customHeight="1">
      <c r="A445" s="1" t="s">
        <v>511</v>
      </c>
      <c r="B445" s="1" t="s">
        <v>22</v>
      </c>
      <c r="C445" s="1" t="s">
        <v>25</v>
      </c>
      <c r="D445" s="1" t="s">
        <v>32</v>
      </c>
      <c r="E445" s="6">
        <v>46255.590277777781</v>
      </c>
      <c r="F445" s="6">
        <v>46255.754861111112</v>
      </c>
      <c r="G445" s="6">
        <v>46256.5</v>
      </c>
      <c r="H445" s="6">
        <v>46256.57916666667</v>
      </c>
      <c r="I445" s="6">
        <v>46256.708333333336</v>
      </c>
      <c r="J445" s="6">
        <v>46256.65625</v>
      </c>
      <c r="K445" s="1" t="s">
        <v>66</v>
      </c>
      <c r="L445" s="1" t="s">
        <v>36</v>
      </c>
      <c r="M445" s="6">
        <v>46256.5</v>
      </c>
      <c r="N445" s="6">
        <v>46256.770833333336</v>
      </c>
      <c r="O445" s="1">
        <v>0</v>
      </c>
      <c r="P445" s="1">
        <v>5</v>
      </c>
      <c r="Q445" s="5">
        <f t="shared" si="42"/>
        <v>0</v>
      </c>
      <c r="R445" s="5">
        <f t="shared" si="43"/>
        <v>1</v>
      </c>
      <c r="S445" s="5">
        <f t="shared" si="44"/>
        <v>1</v>
      </c>
      <c r="T445" s="5">
        <f t="shared" si="45"/>
        <v>1</v>
      </c>
      <c r="U445" s="5">
        <f t="shared" si="46"/>
        <v>0</v>
      </c>
      <c r="V445" s="5" t="str">
        <f t="shared" si="47"/>
        <v>上门超时</v>
      </c>
      <c r="W445" s="5">
        <f t="shared" si="48"/>
        <v>1</v>
      </c>
    </row>
    <row r="446" spans="1:23" ht="17.25" customHeight="1">
      <c r="A446" s="1" t="s">
        <v>512</v>
      </c>
      <c r="B446" s="1" t="s">
        <v>21</v>
      </c>
      <c r="C446" s="1" t="s">
        <v>25</v>
      </c>
      <c r="D446" s="1" t="s">
        <v>30</v>
      </c>
      <c r="E446" s="6">
        <v>46255.628472222219</v>
      </c>
      <c r="F446" s="6">
        <v>46255.65</v>
      </c>
      <c r="G446" s="6">
        <v>46256.416666666664</v>
      </c>
      <c r="H446" s="6">
        <v>46256.39166666667</v>
      </c>
      <c r="I446" s="6">
        <v>46256.625</v>
      </c>
      <c r="J446" s="6">
        <v>46256.430555555555</v>
      </c>
      <c r="K446" s="1" t="s">
        <v>66</v>
      </c>
      <c r="L446" s="1" t="s">
        <v>34</v>
      </c>
      <c r="M446" s="6"/>
      <c r="N446" s="6"/>
      <c r="O446" s="1">
        <v>0</v>
      </c>
      <c r="P446" s="1">
        <v>5</v>
      </c>
      <c r="Q446" s="5">
        <f t="shared" si="42"/>
        <v>1</v>
      </c>
      <c r="R446" s="5">
        <f t="shared" si="43"/>
        <v>1</v>
      </c>
      <c r="S446" s="5">
        <f t="shared" si="44"/>
        <v>0</v>
      </c>
      <c r="T446" s="5">
        <f t="shared" si="45"/>
        <v>0</v>
      </c>
      <c r="U446" s="5">
        <f t="shared" si="46"/>
        <v>0</v>
      </c>
      <c r="V446" s="5" t="str">
        <f t="shared" si="47"/>
        <v>无</v>
      </c>
      <c r="W446" s="5">
        <f t="shared" si="48"/>
        <v>1</v>
      </c>
    </row>
    <row r="447" spans="1:23" ht="17.25" customHeight="1">
      <c r="A447" s="1" t="s">
        <v>513</v>
      </c>
      <c r="B447" s="1" t="s">
        <v>20</v>
      </c>
      <c r="C447" s="1" t="s">
        <v>25</v>
      </c>
      <c r="D447" s="1" t="s">
        <v>28</v>
      </c>
      <c r="E447" s="6">
        <v>46255.666666666664</v>
      </c>
      <c r="F447" s="6">
        <v>46255.720138888886</v>
      </c>
      <c r="G447" s="6">
        <v>46256.5</v>
      </c>
      <c r="H447" s="6">
        <v>46256.478472222225</v>
      </c>
      <c r="I447" s="6">
        <v>46256.708333333336</v>
      </c>
      <c r="J447" s="6">
        <v>46256.581250000003</v>
      </c>
      <c r="K447" s="1" t="s">
        <v>66</v>
      </c>
      <c r="L447" s="1" t="s">
        <v>34</v>
      </c>
      <c r="M447" s="6"/>
      <c r="N447" s="6"/>
      <c r="O447" s="1">
        <v>0</v>
      </c>
      <c r="P447" s="1">
        <v>5</v>
      </c>
      <c r="Q447" s="5">
        <f t="shared" si="42"/>
        <v>1</v>
      </c>
      <c r="R447" s="5">
        <f t="shared" si="43"/>
        <v>1</v>
      </c>
      <c r="S447" s="5">
        <f t="shared" si="44"/>
        <v>0</v>
      </c>
      <c r="T447" s="5">
        <f t="shared" si="45"/>
        <v>0</v>
      </c>
      <c r="U447" s="5">
        <f t="shared" si="46"/>
        <v>0</v>
      </c>
      <c r="V447" s="5" t="str">
        <f t="shared" si="47"/>
        <v>无</v>
      </c>
      <c r="W447" s="5">
        <f t="shared" si="48"/>
        <v>1</v>
      </c>
    </row>
    <row r="448" spans="1:23" ht="17.25" customHeight="1">
      <c r="A448" s="1" t="s">
        <v>514</v>
      </c>
      <c r="B448" s="1" t="s">
        <v>20</v>
      </c>
      <c r="C448" s="1" t="s">
        <v>25</v>
      </c>
      <c r="D448" s="1" t="s">
        <v>27</v>
      </c>
      <c r="E448" s="6">
        <v>46255.677083333336</v>
      </c>
      <c r="F448" s="6">
        <v>46255.770833333336</v>
      </c>
      <c r="G448" s="6">
        <v>46257.708333333336</v>
      </c>
      <c r="H448" s="6">
        <v>46257.686111111114</v>
      </c>
      <c r="I448" s="6">
        <v>46257.916666666664</v>
      </c>
      <c r="J448" s="6">
        <v>46257.751388888886</v>
      </c>
      <c r="K448" s="1" t="s">
        <v>66</v>
      </c>
      <c r="L448" s="1" t="s">
        <v>34</v>
      </c>
      <c r="M448" s="6"/>
      <c r="N448" s="6"/>
      <c r="O448" s="1">
        <v>0</v>
      </c>
      <c r="P448" s="1">
        <v>5</v>
      </c>
      <c r="Q448" s="5">
        <f t="shared" si="42"/>
        <v>1</v>
      </c>
      <c r="R448" s="5">
        <f t="shared" si="43"/>
        <v>1</v>
      </c>
      <c r="S448" s="5">
        <f t="shared" si="44"/>
        <v>0</v>
      </c>
      <c r="T448" s="5">
        <f t="shared" si="45"/>
        <v>0</v>
      </c>
      <c r="U448" s="5">
        <f t="shared" si="46"/>
        <v>0</v>
      </c>
      <c r="V448" s="5" t="str">
        <f t="shared" si="47"/>
        <v>无</v>
      </c>
      <c r="W448" s="5">
        <f t="shared" si="48"/>
        <v>1</v>
      </c>
    </row>
    <row r="449" spans="1:23" ht="17.25" customHeight="1">
      <c r="A449" s="1" t="s">
        <v>515</v>
      </c>
      <c r="B449" s="1" t="s">
        <v>21</v>
      </c>
      <c r="C449" s="1" t="s">
        <v>25</v>
      </c>
      <c r="D449" s="1" t="s">
        <v>29</v>
      </c>
      <c r="E449" s="6">
        <v>46255.680555555555</v>
      </c>
      <c r="F449" s="6">
        <v>46257.671527777777</v>
      </c>
      <c r="G449" s="6">
        <v>46257.625</v>
      </c>
      <c r="H449" s="6">
        <v>46257.698611111111</v>
      </c>
      <c r="I449" s="6">
        <v>46257.833333333336</v>
      </c>
      <c r="J449" s="6">
        <v>46257.734722222223</v>
      </c>
      <c r="K449" s="1" t="s">
        <v>66</v>
      </c>
      <c r="L449" s="1" t="s">
        <v>35</v>
      </c>
      <c r="M449" s="6">
        <v>46257.625</v>
      </c>
      <c r="N449" s="6">
        <v>46257.811805555553</v>
      </c>
      <c r="O449" s="1">
        <v>0</v>
      </c>
      <c r="P449" s="1">
        <v>3</v>
      </c>
      <c r="Q449" s="5">
        <f t="shared" si="42"/>
        <v>0</v>
      </c>
      <c r="R449" s="5">
        <f t="shared" si="43"/>
        <v>1</v>
      </c>
      <c r="S449" s="5">
        <f t="shared" si="44"/>
        <v>1</v>
      </c>
      <c r="T449" s="5">
        <f t="shared" si="45"/>
        <v>1</v>
      </c>
      <c r="U449" s="5">
        <f t="shared" si="46"/>
        <v>0</v>
      </c>
      <c r="V449" s="5" t="str">
        <f t="shared" si="47"/>
        <v>派单超时</v>
      </c>
      <c r="W449" s="5">
        <f t="shared" si="48"/>
        <v>1</v>
      </c>
    </row>
    <row r="450" spans="1:23" ht="17.25" customHeight="1">
      <c r="A450" s="1" t="s">
        <v>516</v>
      </c>
      <c r="B450" s="1" t="s">
        <v>21</v>
      </c>
      <c r="C450" s="1" t="s">
        <v>25</v>
      </c>
      <c r="D450" s="1" t="s">
        <v>30</v>
      </c>
      <c r="E450" s="6">
        <v>46255.756944444445</v>
      </c>
      <c r="F450" s="6">
        <v>46255.8</v>
      </c>
      <c r="G450" s="6">
        <v>46256.416666666664</v>
      </c>
      <c r="H450" s="6">
        <v>46256.376388888886</v>
      </c>
      <c r="I450" s="6">
        <v>46256.625</v>
      </c>
      <c r="J450" s="6">
        <v>46256.455555555556</v>
      </c>
      <c r="K450" s="1" t="s">
        <v>66</v>
      </c>
      <c r="L450" s="1" t="s">
        <v>34</v>
      </c>
      <c r="M450" s="6"/>
      <c r="N450" s="6"/>
      <c r="O450" s="1">
        <v>0</v>
      </c>
      <c r="P450" s="1">
        <v>5</v>
      </c>
      <c r="Q450" s="5">
        <f t="shared" ref="Q450:Q513" si="49">IF(AND(ISNUMBER(H450),H450&lt;=G450),1,0)</f>
        <v>1</v>
      </c>
      <c r="R450" s="5">
        <f t="shared" ref="R450:R513" si="50">IF(AND(ISNUMBER(J450),J450&lt;=I450),1,0)</f>
        <v>1</v>
      </c>
      <c r="S450" s="5">
        <f t="shared" ref="S450:S513" si="51">IF(V450="无",0,1)</f>
        <v>0</v>
      </c>
      <c r="T450" s="5">
        <f t="shared" ref="T450:T513" si="52">IF(AND(S450=1,ISNUMBER(N450)),1,0)</f>
        <v>0</v>
      </c>
      <c r="U450" s="5">
        <f t="shared" ref="U450:U513" si="53">IF(AND(S450=1,T450=0),1,0)</f>
        <v>0</v>
      </c>
      <c r="V450" s="5" t="str">
        <f t="shared" ref="V450:V513" si="54">IF(AND(ISNUMBER(F450),F450&lt;=G450),IF(AND(ISNUMBER(H450),H450&lt;=G450),IF(AND(ISNUMBER(J450),J450&lt;=I450),"无","完工超时"),"上门超时"),"派单超时")</f>
        <v>无</v>
      </c>
      <c r="W450" s="5">
        <f t="shared" ref="W450:W513" si="55">IF(L450=V450,1,0)</f>
        <v>1</v>
      </c>
    </row>
    <row r="451" spans="1:23" ht="17.25" customHeight="1">
      <c r="A451" s="1" t="s">
        <v>517</v>
      </c>
      <c r="B451" s="1" t="s">
        <v>20</v>
      </c>
      <c r="C451" s="1" t="s">
        <v>24</v>
      </c>
      <c r="D451" s="1" t="s">
        <v>27</v>
      </c>
      <c r="E451" s="6">
        <v>46255.767361111109</v>
      </c>
      <c r="F451" s="6">
        <v>46255.837500000001</v>
      </c>
      <c r="G451" s="6">
        <v>46256.625</v>
      </c>
      <c r="H451" s="6">
        <v>46256.586805555555</v>
      </c>
      <c r="I451" s="6">
        <v>46256.791666666664</v>
      </c>
      <c r="J451" s="6">
        <v>46256.67083333333</v>
      </c>
      <c r="K451" s="1" t="s">
        <v>66</v>
      </c>
      <c r="L451" s="1" t="s">
        <v>34</v>
      </c>
      <c r="M451" s="6"/>
      <c r="N451" s="6"/>
      <c r="O451" s="1">
        <v>0</v>
      </c>
      <c r="P451" s="1">
        <v>5</v>
      </c>
      <c r="Q451" s="5">
        <f t="shared" si="49"/>
        <v>1</v>
      </c>
      <c r="R451" s="5">
        <f t="shared" si="50"/>
        <v>1</v>
      </c>
      <c r="S451" s="5">
        <f t="shared" si="51"/>
        <v>0</v>
      </c>
      <c r="T451" s="5">
        <f t="shared" si="52"/>
        <v>0</v>
      </c>
      <c r="U451" s="5">
        <f t="shared" si="53"/>
        <v>0</v>
      </c>
      <c r="V451" s="5" t="str">
        <f t="shared" si="54"/>
        <v>无</v>
      </c>
      <c r="W451" s="5">
        <f t="shared" si="55"/>
        <v>1</v>
      </c>
    </row>
    <row r="452" spans="1:23" ht="17.25" customHeight="1">
      <c r="A452" s="1" t="s">
        <v>518</v>
      </c>
      <c r="B452" s="1" t="s">
        <v>20</v>
      </c>
      <c r="C452" s="1" t="s">
        <v>24</v>
      </c>
      <c r="D452" s="1" t="s">
        <v>28</v>
      </c>
      <c r="E452" s="6">
        <v>46256.357638888891</v>
      </c>
      <c r="F452" s="6">
        <v>46257.770833333336</v>
      </c>
      <c r="G452" s="6">
        <v>46257.708333333336</v>
      </c>
      <c r="H452" s="6">
        <v>46257.786805555559</v>
      </c>
      <c r="I452" s="6">
        <v>46257.875</v>
      </c>
      <c r="J452" s="6">
        <v>46257.878472222219</v>
      </c>
      <c r="K452" s="1" t="s">
        <v>66</v>
      </c>
      <c r="L452" s="1" t="s">
        <v>35</v>
      </c>
      <c r="M452" s="6">
        <v>46257.708333333336</v>
      </c>
      <c r="N452" s="6">
        <v>46258.029861111114</v>
      </c>
      <c r="O452" s="1">
        <v>0</v>
      </c>
      <c r="P452" s="1">
        <v>2</v>
      </c>
      <c r="Q452" s="5">
        <f t="shared" si="49"/>
        <v>0</v>
      </c>
      <c r="R452" s="5">
        <f t="shared" si="50"/>
        <v>0</v>
      </c>
      <c r="S452" s="5">
        <f t="shared" si="51"/>
        <v>1</v>
      </c>
      <c r="T452" s="5">
        <f t="shared" si="52"/>
        <v>1</v>
      </c>
      <c r="U452" s="5">
        <f t="shared" si="53"/>
        <v>0</v>
      </c>
      <c r="V452" s="5" t="str">
        <f t="shared" si="54"/>
        <v>派单超时</v>
      </c>
      <c r="W452" s="5">
        <f t="shared" si="55"/>
        <v>1</v>
      </c>
    </row>
    <row r="453" spans="1:23" ht="17.25" customHeight="1">
      <c r="A453" s="1" t="s">
        <v>519</v>
      </c>
      <c r="B453" s="1" t="s">
        <v>20</v>
      </c>
      <c r="C453" s="1" t="s">
        <v>25</v>
      </c>
      <c r="D453" s="1" t="s">
        <v>27</v>
      </c>
      <c r="E453" s="6">
        <v>46256.361111111109</v>
      </c>
      <c r="F453" s="6">
        <v>46256.384722222225</v>
      </c>
      <c r="G453" s="6">
        <v>46258.625</v>
      </c>
      <c r="H453" s="6">
        <v>46258.597916666666</v>
      </c>
      <c r="I453" s="6">
        <v>46258.833333333336</v>
      </c>
      <c r="J453" s="6">
        <v>46258.633333333331</v>
      </c>
      <c r="K453" s="1" t="s">
        <v>66</v>
      </c>
      <c r="L453" s="1" t="s">
        <v>34</v>
      </c>
      <c r="M453" s="6"/>
      <c r="N453" s="6"/>
      <c r="O453" s="1">
        <v>0</v>
      </c>
      <c r="P453" s="1">
        <v>5</v>
      </c>
      <c r="Q453" s="5">
        <f t="shared" si="49"/>
        <v>1</v>
      </c>
      <c r="R453" s="5">
        <f t="shared" si="50"/>
        <v>1</v>
      </c>
      <c r="S453" s="5">
        <f t="shared" si="51"/>
        <v>0</v>
      </c>
      <c r="T453" s="5">
        <f t="shared" si="52"/>
        <v>0</v>
      </c>
      <c r="U453" s="5">
        <f t="shared" si="53"/>
        <v>0</v>
      </c>
      <c r="V453" s="5" t="str">
        <f t="shared" si="54"/>
        <v>无</v>
      </c>
      <c r="W453" s="5">
        <f t="shared" si="55"/>
        <v>1</v>
      </c>
    </row>
    <row r="454" spans="1:23" ht="17.25" customHeight="1">
      <c r="A454" s="1" t="s">
        <v>520</v>
      </c>
      <c r="B454" s="1" t="s">
        <v>20</v>
      </c>
      <c r="C454" s="1" t="s">
        <v>24</v>
      </c>
      <c r="D454" s="1" t="s">
        <v>28</v>
      </c>
      <c r="E454" s="6">
        <v>46256.378472222219</v>
      </c>
      <c r="F454" s="6">
        <v>46256.415972222225</v>
      </c>
      <c r="G454" s="6">
        <v>46257.5</v>
      </c>
      <c r="H454" s="6">
        <v>46257.568055555559</v>
      </c>
      <c r="I454" s="6">
        <v>46257.666666666664</v>
      </c>
      <c r="J454" s="6">
        <v>46257.65902777778</v>
      </c>
      <c r="K454" s="1" t="s">
        <v>66</v>
      </c>
      <c r="L454" s="1" t="s">
        <v>36</v>
      </c>
      <c r="M454" s="6">
        <v>46257.5</v>
      </c>
      <c r="N454" s="6"/>
      <c r="O454" s="1">
        <v>0</v>
      </c>
      <c r="P454" s="1">
        <v>4</v>
      </c>
      <c r="Q454" s="5">
        <f t="shared" si="49"/>
        <v>0</v>
      </c>
      <c r="R454" s="5">
        <f t="shared" si="50"/>
        <v>1</v>
      </c>
      <c r="S454" s="5">
        <f t="shared" si="51"/>
        <v>1</v>
      </c>
      <c r="T454" s="5">
        <f t="shared" si="52"/>
        <v>0</v>
      </c>
      <c r="U454" s="5">
        <f t="shared" si="53"/>
        <v>1</v>
      </c>
      <c r="V454" s="5" t="str">
        <f t="shared" si="54"/>
        <v>上门超时</v>
      </c>
      <c r="W454" s="5">
        <f t="shared" si="55"/>
        <v>1</v>
      </c>
    </row>
    <row r="455" spans="1:23" ht="17.25" customHeight="1">
      <c r="A455" s="1" t="s">
        <v>521</v>
      </c>
      <c r="B455" s="1" t="s">
        <v>20</v>
      </c>
      <c r="C455" s="1" t="s">
        <v>26</v>
      </c>
      <c r="D455" s="1" t="s">
        <v>28</v>
      </c>
      <c r="E455" s="6">
        <v>46256.395833333336</v>
      </c>
      <c r="F455" s="6">
        <v>46256.444444444445</v>
      </c>
      <c r="G455" s="6">
        <v>46258.5</v>
      </c>
      <c r="H455" s="6">
        <v>46258.448611111111</v>
      </c>
      <c r="I455" s="6">
        <v>46258.625</v>
      </c>
      <c r="J455" s="6">
        <v>46258.501388888886</v>
      </c>
      <c r="K455" s="1" t="s">
        <v>66</v>
      </c>
      <c r="L455" s="1" t="s">
        <v>34</v>
      </c>
      <c r="M455" s="6"/>
      <c r="N455" s="6"/>
      <c r="O455" s="1">
        <v>0</v>
      </c>
      <c r="P455" s="1">
        <v>5</v>
      </c>
      <c r="Q455" s="5">
        <f t="shared" si="49"/>
        <v>1</v>
      </c>
      <c r="R455" s="5">
        <f t="shared" si="50"/>
        <v>1</v>
      </c>
      <c r="S455" s="5">
        <f t="shared" si="51"/>
        <v>0</v>
      </c>
      <c r="T455" s="5">
        <f t="shared" si="52"/>
        <v>0</v>
      </c>
      <c r="U455" s="5">
        <f t="shared" si="53"/>
        <v>0</v>
      </c>
      <c r="V455" s="5" t="str">
        <f t="shared" si="54"/>
        <v>无</v>
      </c>
      <c r="W455" s="5">
        <f t="shared" si="55"/>
        <v>1</v>
      </c>
    </row>
    <row r="456" spans="1:23" ht="17.25" customHeight="1">
      <c r="A456" s="1" t="s">
        <v>522</v>
      </c>
      <c r="B456" s="1" t="s">
        <v>22</v>
      </c>
      <c r="C456" s="1" t="s">
        <v>25</v>
      </c>
      <c r="D456" s="1" t="s">
        <v>31</v>
      </c>
      <c r="E456" s="6">
        <v>46256.395833333336</v>
      </c>
      <c r="F456" s="6">
        <v>46256.452777777777</v>
      </c>
      <c r="G456" s="6">
        <v>46258.625</v>
      </c>
      <c r="H456" s="6">
        <v>46258.606249999997</v>
      </c>
      <c r="I456" s="6">
        <v>46258.833333333336</v>
      </c>
      <c r="J456" s="6">
        <v>46258.70208333333</v>
      </c>
      <c r="K456" s="1" t="s">
        <v>66</v>
      </c>
      <c r="L456" s="1" t="s">
        <v>34</v>
      </c>
      <c r="M456" s="6"/>
      <c r="N456" s="6"/>
      <c r="O456" s="1">
        <v>0</v>
      </c>
      <c r="P456" s="1">
        <v>5</v>
      </c>
      <c r="Q456" s="5">
        <f t="shared" si="49"/>
        <v>1</v>
      </c>
      <c r="R456" s="5">
        <f t="shared" si="50"/>
        <v>1</v>
      </c>
      <c r="S456" s="5">
        <f t="shared" si="51"/>
        <v>0</v>
      </c>
      <c r="T456" s="5">
        <f t="shared" si="52"/>
        <v>0</v>
      </c>
      <c r="U456" s="5">
        <f t="shared" si="53"/>
        <v>0</v>
      </c>
      <c r="V456" s="5" t="str">
        <f t="shared" si="54"/>
        <v>无</v>
      </c>
      <c r="W456" s="5">
        <f t="shared" si="55"/>
        <v>1</v>
      </c>
    </row>
    <row r="457" spans="1:23" ht="17.25" customHeight="1">
      <c r="A457" s="1" t="s">
        <v>523</v>
      </c>
      <c r="B457" s="1" t="s">
        <v>22</v>
      </c>
      <c r="C457" s="1" t="s">
        <v>25</v>
      </c>
      <c r="D457" s="1" t="s">
        <v>32</v>
      </c>
      <c r="E457" s="6">
        <v>46256.420138888891</v>
      </c>
      <c r="F457" s="6">
        <v>46256.492361111108</v>
      </c>
      <c r="G457" s="6">
        <v>46259.625</v>
      </c>
      <c r="H457" s="6">
        <v>46259.677777777775</v>
      </c>
      <c r="I457" s="6">
        <v>46259.833333333336</v>
      </c>
      <c r="J457" s="6">
        <v>46259.727083333331</v>
      </c>
      <c r="K457" s="1" t="s">
        <v>66</v>
      </c>
      <c r="L457" s="1" t="s">
        <v>36</v>
      </c>
      <c r="M457" s="6">
        <v>46259.625</v>
      </c>
      <c r="N457" s="6">
        <v>46259.856249999997</v>
      </c>
      <c r="O457" s="1">
        <v>0</v>
      </c>
      <c r="P457" s="1">
        <v>3</v>
      </c>
      <c r="Q457" s="5">
        <f t="shared" si="49"/>
        <v>0</v>
      </c>
      <c r="R457" s="5">
        <f t="shared" si="50"/>
        <v>1</v>
      </c>
      <c r="S457" s="5">
        <f t="shared" si="51"/>
        <v>1</v>
      </c>
      <c r="T457" s="5">
        <f t="shared" si="52"/>
        <v>1</v>
      </c>
      <c r="U457" s="5">
        <f t="shared" si="53"/>
        <v>0</v>
      </c>
      <c r="V457" s="5" t="str">
        <f t="shared" si="54"/>
        <v>上门超时</v>
      </c>
      <c r="W457" s="5">
        <f t="shared" si="55"/>
        <v>1</v>
      </c>
    </row>
    <row r="458" spans="1:23" ht="17.25" customHeight="1">
      <c r="A458" s="1" t="s">
        <v>524</v>
      </c>
      <c r="B458" s="1" t="s">
        <v>20</v>
      </c>
      <c r="C458" s="1" t="s">
        <v>24</v>
      </c>
      <c r="D458" s="1" t="s">
        <v>27</v>
      </c>
      <c r="E458" s="6">
        <v>46256.430555555555</v>
      </c>
      <c r="F458" s="6">
        <v>46256.474999999999</v>
      </c>
      <c r="G458" s="6">
        <v>46257.5</v>
      </c>
      <c r="H458" s="6">
        <v>46257.478472222225</v>
      </c>
      <c r="I458" s="6">
        <v>46257.666666666664</v>
      </c>
      <c r="J458" s="6">
        <v>46257.552083333336</v>
      </c>
      <c r="K458" s="1" t="s">
        <v>66</v>
      </c>
      <c r="L458" s="1" t="s">
        <v>34</v>
      </c>
      <c r="M458" s="6"/>
      <c r="N458" s="6"/>
      <c r="O458" s="1">
        <v>0</v>
      </c>
      <c r="P458" s="1">
        <v>5</v>
      </c>
      <c r="Q458" s="5">
        <f t="shared" si="49"/>
        <v>1</v>
      </c>
      <c r="R458" s="5">
        <f t="shared" si="50"/>
        <v>1</v>
      </c>
      <c r="S458" s="5">
        <f t="shared" si="51"/>
        <v>0</v>
      </c>
      <c r="T458" s="5">
        <f t="shared" si="52"/>
        <v>0</v>
      </c>
      <c r="U458" s="5">
        <f t="shared" si="53"/>
        <v>0</v>
      </c>
      <c r="V458" s="5" t="str">
        <f t="shared" si="54"/>
        <v>无</v>
      </c>
      <c r="W458" s="5">
        <f t="shared" si="55"/>
        <v>1</v>
      </c>
    </row>
    <row r="459" spans="1:23" ht="17.25" customHeight="1">
      <c r="A459" s="1" t="s">
        <v>525</v>
      </c>
      <c r="B459" s="1" t="s">
        <v>20</v>
      </c>
      <c r="C459" s="1" t="s">
        <v>25</v>
      </c>
      <c r="D459" s="1" t="s">
        <v>27</v>
      </c>
      <c r="E459" s="6">
        <v>46256.4375</v>
      </c>
      <c r="F459" s="6">
        <v>46256.549305555556</v>
      </c>
      <c r="G459" s="6">
        <v>46258.625</v>
      </c>
      <c r="H459" s="6">
        <v>46258.57916666667</v>
      </c>
      <c r="I459" s="6">
        <v>46258.833333333336</v>
      </c>
      <c r="J459" s="6">
        <v>46258.668055555558</v>
      </c>
      <c r="K459" s="1" t="s">
        <v>66</v>
      </c>
      <c r="L459" s="1" t="s">
        <v>34</v>
      </c>
      <c r="M459" s="6"/>
      <c r="N459" s="6"/>
      <c r="O459" s="1">
        <v>0</v>
      </c>
      <c r="P459" s="1">
        <v>4</v>
      </c>
      <c r="Q459" s="5">
        <f t="shared" si="49"/>
        <v>1</v>
      </c>
      <c r="R459" s="5">
        <f t="shared" si="50"/>
        <v>1</v>
      </c>
      <c r="S459" s="5">
        <f t="shared" si="51"/>
        <v>0</v>
      </c>
      <c r="T459" s="5">
        <f t="shared" si="52"/>
        <v>0</v>
      </c>
      <c r="U459" s="5">
        <f t="shared" si="53"/>
        <v>0</v>
      </c>
      <c r="V459" s="5" t="str">
        <f t="shared" si="54"/>
        <v>无</v>
      </c>
      <c r="W459" s="5">
        <f t="shared" si="55"/>
        <v>1</v>
      </c>
    </row>
    <row r="460" spans="1:23" ht="17.25" customHeight="1">
      <c r="A460" s="1" t="s">
        <v>526</v>
      </c>
      <c r="B460" s="1" t="s">
        <v>20</v>
      </c>
      <c r="C460" s="1" t="s">
        <v>24</v>
      </c>
      <c r="D460" s="1" t="s">
        <v>27</v>
      </c>
      <c r="E460" s="6">
        <v>46256.465277777781</v>
      </c>
      <c r="F460" s="6">
        <v>46256.510416666664</v>
      </c>
      <c r="G460" s="6">
        <v>46259.625</v>
      </c>
      <c r="H460" s="6">
        <v>46259.615972222222</v>
      </c>
      <c r="I460" s="6">
        <v>46259.791666666664</v>
      </c>
      <c r="J460" s="6">
        <v>46259.662499999999</v>
      </c>
      <c r="K460" s="1" t="s">
        <v>66</v>
      </c>
      <c r="L460" s="1" t="s">
        <v>34</v>
      </c>
      <c r="M460" s="6"/>
      <c r="N460" s="6"/>
      <c r="O460" s="1">
        <v>0</v>
      </c>
      <c r="P460" s="1">
        <v>5</v>
      </c>
      <c r="Q460" s="5">
        <f t="shared" si="49"/>
        <v>1</v>
      </c>
      <c r="R460" s="5">
        <f t="shared" si="50"/>
        <v>1</v>
      </c>
      <c r="S460" s="5">
        <f t="shared" si="51"/>
        <v>0</v>
      </c>
      <c r="T460" s="5">
        <f t="shared" si="52"/>
        <v>0</v>
      </c>
      <c r="U460" s="5">
        <f t="shared" si="53"/>
        <v>0</v>
      </c>
      <c r="V460" s="5" t="str">
        <f t="shared" si="54"/>
        <v>无</v>
      </c>
      <c r="W460" s="5">
        <f t="shared" si="55"/>
        <v>1</v>
      </c>
    </row>
    <row r="461" spans="1:23" ht="17.25" customHeight="1">
      <c r="A461" s="1" t="s">
        <v>527</v>
      </c>
      <c r="B461" s="1" t="s">
        <v>22</v>
      </c>
      <c r="C461" s="1" t="s">
        <v>25</v>
      </c>
      <c r="D461" s="1" t="s">
        <v>31</v>
      </c>
      <c r="E461" s="6">
        <v>46256.472222222219</v>
      </c>
      <c r="F461" s="6">
        <v>46257.669444444444</v>
      </c>
      <c r="G461" s="6">
        <v>46257.625</v>
      </c>
      <c r="H461" s="6">
        <v>46257.717361111114</v>
      </c>
      <c r="I461" s="6">
        <v>46257.833333333336</v>
      </c>
      <c r="J461" s="6">
        <v>46257.770833333336</v>
      </c>
      <c r="K461" s="1" t="s">
        <v>66</v>
      </c>
      <c r="L461" s="1" t="s">
        <v>35</v>
      </c>
      <c r="M461" s="6">
        <v>46257.625</v>
      </c>
      <c r="N461" s="6">
        <v>46257.914583333331</v>
      </c>
      <c r="O461" s="1">
        <v>0</v>
      </c>
      <c r="P461" s="1">
        <v>2</v>
      </c>
      <c r="Q461" s="5">
        <f t="shared" si="49"/>
        <v>0</v>
      </c>
      <c r="R461" s="5">
        <f t="shared" si="50"/>
        <v>1</v>
      </c>
      <c r="S461" s="5">
        <f t="shared" si="51"/>
        <v>1</v>
      </c>
      <c r="T461" s="5">
        <f t="shared" si="52"/>
        <v>1</v>
      </c>
      <c r="U461" s="5">
        <f t="shared" si="53"/>
        <v>0</v>
      </c>
      <c r="V461" s="5" t="str">
        <f t="shared" si="54"/>
        <v>派单超时</v>
      </c>
      <c r="W461" s="5">
        <f t="shared" si="55"/>
        <v>1</v>
      </c>
    </row>
    <row r="462" spans="1:23" ht="17.25" customHeight="1">
      <c r="A462" s="1" t="s">
        <v>528</v>
      </c>
      <c r="B462" s="1" t="s">
        <v>21</v>
      </c>
      <c r="C462" s="1" t="s">
        <v>25</v>
      </c>
      <c r="D462" s="1" t="s">
        <v>29</v>
      </c>
      <c r="E462" s="6">
        <v>46256.472222222219</v>
      </c>
      <c r="F462" s="6">
        <v>46256.529166666667</v>
      </c>
      <c r="G462" s="6">
        <v>46258.416666666664</v>
      </c>
      <c r="H462" s="6">
        <v>46258.386111111111</v>
      </c>
      <c r="I462" s="6">
        <v>46258.625</v>
      </c>
      <c r="J462" s="6">
        <v>46258.425694444442</v>
      </c>
      <c r="K462" s="1" t="s">
        <v>66</v>
      </c>
      <c r="L462" s="1" t="s">
        <v>34</v>
      </c>
      <c r="M462" s="6"/>
      <c r="N462" s="6"/>
      <c r="O462" s="1">
        <v>0</v>
      </c>
      <c r="P462" s="1">
        <v>3</v>
      </c>
      <c r="Q462" s="5">
        <f t="shared" si="49"/>
        <v>1</v>
      </c>
      <c r="R462" s="5">
        <f t="shared" si="50"/>
        <v>1</v>
      </c>
      <c r="S462" s="5">
        <f t="shared" si="51"/>
        <v>0</v>
      </c>
      <c r="T462" s="5">
        <f t="shared" si="52"/>
        <v>0</v>
      </c>
      <c r="U462" s="5">
        <f t="shared" si="53"/>
        <v>0</v>
      </c>
      <c r="V462" s="5" t="str">
        <f t="shared" si="54"/>
        <v>无</v>
      </c>
      <c r="W462" s="5">
        <f t="shared" si="55"/>
        <v>1</v>
      </c>
    </row>
    <row r="463" spans="1:23" ht="17.25" customHeight="1">
      <c r="A463" s="1" t="s">
        <v>529</v>
      </c>
      <c r="B463" s="1" t="s">
        <v>20</v>
      </c>
      <c r="C463" s="1" t="s">
        <v>24</v>
      </c>
      <c r="D463" s="1" t="s">
        <v>27</v>
      </c>
      <c r="E463" s="6">
        <v>46256.479166666664</v>
      </c>
      <c r="F463" s="6">
        <v>46256.604166666664</v>
      </c>
      <c r="G463" s="6">
        <v>46257.708333333336</v>
      </c>
      <c r="H463" s="6">
        <v>46257.663888888892</v>
      </c>
      <c r="I463" s="6">
        <v>46257.875</v>
      </c>
      <c r="J463" s="6">
        <v>46257.724999999999</v>
      </c>
      <c r="K463" s="1" t="s">
        <v>66</v>
      </c>
      <c r="L463" s="1" t="s">
        <v>34</v>
      </c>
      <c r="M463" s="6"/>
      <c r="N463" s="6"/>
      <c r="O463" s="1">
        <v>0</v>
      </c>
      <c r="P463" s="1">
        <v>5</v>
      </c>
      <c r="Q463" s="5">
        <f t="shared" si="49"/>
        <v>1</v>
      </c>
      <c r="R463" s="5">
        <f t="shared" si="50"/>
        <v>1</v>
      </c>
      <c r="S463" s="5">
        <f t="shared" si="51"/>
        <v>0</v>
      </c>
      <c r="T463" s="5">
        <f t="shared" si="52"/>
        <v>0</v>
      </c>
      <c r="U463" s="5">
        <f t="shared" si="53"/>
        <v>0</v>
      </c>
      <c r="V463" s="5" t="str">
        <f t="shared" si="54"/>
        <v>无</v>
      </c>
      <c r="W463" s="5">
        <f t="shared" si="55"/>
        <v>1</v>
      </c>
    </row>
    <row r="464" spans="1:23" ht="17.25" customHeight="1">
      <c r="A464" s="1" t="s">
        <v>530</v>
      </c>
      <c r="B464" s="1" t="s">
        <v>22</v>
      </c>
      <c r="C464" s="1" t="s">
        <v>25</v>
      </c>
      <c r="D464" s="1" t="s">
        <v>31</v>
      </c>
      <c r="E464" s="6">
        <v>46256.496527777781</v>
      </c>
      <c r="F464" s="6"/>
      <c r="G464" s="6">
        <v>46257.708333333336</v>
      </c>
      <c r="H464" s="6"/>
      <c r="I464" s="6">
        <v>46257.916666666664</v>
      </c>
      <c r="J464" s="6"/>
      <c r="K464" s="1" t="s">
        <v>73</v>
      </c>
      <c r="L464" s="1" t="s">
        <v>35</v>
      </c>
      <c r="M464" s="6">
        <v>46257.708333333336</v>
      </c>
      <c r="N464" s="6"/>
      <c r="O464" s="1">
        <v>1</v>
      </c>
      <c r="P464" s="1"/>
      <c r="Q464" s="5">
        <f t="shared" si="49"/>
        <v>0</v>
      </c>
      <c r="R464" s="5">
        <f t="shared" si="50"/>
        <v>0</v>
      </c>
      <c r="S464" s="5">
        <f t="shared" si="51"/>
        <v>1</v>
      </c>
      <c r="T464" s="5">
        <f t="shared" si="52"/>
        <v>0</v>
      </c>
      <c r="U464" s="5">
        <f t="shared" si="53"/>
        <v>1</v>
      </c>
      <c r="V464" s="5" t="str">
        <f t="shared" si="54"/>
        <v>派单超时</v>
      </c>
      <c r="W464" s="5">
        <f t="shared" si="55"/>
        <v>1</v>
      </c>
    </row>
    <row r="465" spans="1:23" ht="17.25" customHeight="1">
      <c r="A465" s="1" t="s">
        <v>531</v>
      </c>
      <c r="B465" s="1" t="s">
        <v>21</v>
      </c>
      <c r="C465" s="1" t="s">
        <v>25</v>
      </c>
      <c r="D465" s="1" t="s">
        <v>29</v>
      </c>
      <c r="E465" s="6">
        <v>46256.524305555555</v>
      </c>
      <c r="F465" s="6">
        <v>46256.67083333333</v>
      </c>
      <c r="G465" s="6">
        <v>46257.708333333336</v>
      </c>
      <c r="H465" s="6">
        <v>46257.665277777778</v>
      </c>
      <c r="I465" s="6">
        <v>46257.916666666664</v>
      </c>
      <c r="J465" s="6">
        <v>46257.749305555553</v>
      </c>
      <c r="K465" s="1" t="s">
        <v>66</v>
      </c>
      <c r="L465" s="1" t="s">
        <v>34</v>
      </c>
      <c r="M465" s="6"/>
      <c r="N465" s="6"/>
      <c r="O465" s="1">
        <v>0</v>
      </c>
      <c r="P465" s="1">
        <v>3</v>
      </c>
      <c r="Q465" s="5">
        <f t="shared" si="49"/>
        <v>1</v>
      </c>
      <c r="R465" s="5">
        <f t="shared" si="50"/>
        <v>1</v>
      </c>
      <c r="S465" s="5">
        <f t="shared" si="51"/>
        <v>0</v>
      </c>
      <c r="T465" s="5">
        <f t="shared" si="52"/>
        <v>0</v>
      </c>
      <c r="U465" s="5">
        <f t="shared" si="53"/>
        <v>0</v>
      </c>
      <c r="V465" s="5" t="str">
        <f t="shared" si="54"/>
        <v>无</v>
      </c>
      <c r="W465" s="5">
        <f t="shared" si="55"/>
        <v>1</v>
      </c>
    </row>
    <row r="466" spans="1:23" ht="17.25" customHeight="1">
      <c r="A466" s="1" t="s">
        <v>532</v>
      </c>
      <c r="B466" s="1" t="s">
        <v>20</v>
      </c>
      <c r="C466" s="1" t="s">
        <v>24</v>
      </c>
      <c r="D466" s="1" t="s">
        <v>27</v>
      </c>
      <c r="E466" s="6">
        <v>46256.527777777781</v>
      </c>
      <c r="F466" s="6">
        <v>46256.631249999999</v>
      </c>
      <c r="G466" s="6">
        <v>46257.625</v>
      </c>
      <c r="H466" s="6"/>
      <c r="I466" s="6">
        <v>46257.791666666664</v>
      </c>
      <c r="J466" s="6"/>
      <c r="K466" s="1" t="s">
        <v>73</v>
      </c>
      <c r="L466" s="1" t="s">
        <v>36</v>
      </c>
      <c r="M466" s="6">
        <v>46257.625</v>
      </c>
      <c r="N466" s="6"/>
      <c r="O466" s="1">
        <v>1</v>
      </c>
      <c r="P466" s="1"/>
      <c r="Q466" s="5">
        <f t="shared" si="49"/>
        <v>0</v>
      </c>
      <c r="R466" s="5">
        <f t="shared" si="50"/>
        <v>0</v>
      </c>
      <c r="S466" s="5">
        <f t="shared" si="51"/>
        <v>1</v>
      </c>
      <c r="T466" s="5">
        <f t="shared" si="52"/>
        <v>0</v>
      </c>
      <c r="U466" s="5">
        <f t="shared" si="53"/>
        <v>1</v>
      </c>
      <c r="V466" s="5" t="str">
        <f t="shared" si="54"/>
        <v>上门超时</v>
      </c>
      <c r="W466" s="5">
        <f t="shared" si="55"/>
        <v>1</v>
      </c>
    </row>
    <row r="467" spans="1:23" ht="17.25" customHeight="1">
      <c r="A467" s="1" t="s">
        <v>533</v>
      </c>
      <c r="B467" s="1" t="s">
        <v>21</v>
      </c>
      <c r="C467" s="1" t="s">
        <v>24</v>
      </c>
      <c r="D467" s="1" t="s">
        <v>29</v>
      </c>
      <c r="E467" s="6">
        <v>46256.534722222219</v>
      </c>
      <c r="F467" s="6">
        <v>46256.662499999999</v>
      </c>
      <c r="G467" s="6">
        <v>46257.5</v>
      </c>
      <c r="H467" s="6">
        <v>46257.451388888891</v>
      </c>
      <c r="I467" s="6">
        <v>46257.666666666664</v>
      </c>
      <c r="J467" s="6">
        <v>46257.765972222223</v>
      </c>
      <c r="K467" s="1" t="s">
        <v>66</v>
      </c>
      <c r="L467" s="1" t="s">
        <v>37</v>
      </c>
      <c r="M467" s="6">
        <v>46257.666666666664</v>
      </c>
      <c r="N467" s="6">
        <v>46257.886111111111</v>
      </c>
      <c r="O467" s="1">
        <v>1</v>
      </c>
      <c r="P467" s="1">
        <v>3</v>
      </c>
      <c r="Q467" s="5">
        <f t="shared" si="49"/>
        <v>1</v>
      </c>
      <c r="R467" s="5">
        <f t="shared" si="50"/>
        <v>0</v>
      </c>
      <c r="S467" s="5">
        <f t="shared" si="51"/>
        <v>1</v>
      </c>
      <c r="T467" s="5">
        <f t="shared" si="52"/>
        <v>1</v>
      </c>
      <c r="U467" s="5">
        <f t="shared" si="53"/>
        <v>0</v>
      </c>
      <c r="V467" s="5" t="str">
        <f t="shared" si="54"/>
        <v>完工超时</v>
      </c>
      <c r="W467" s="5">
        <f t="shared" si="55"/>
        <v>1</v>
      </c>
    </row>
    <row r="468" spans="1:23" ht="17.25" customHeight="1">
      <c r="A468" s="1" t="s">
        <v>534</v>
      </c>
      <c r="B468" s="1" t="s">
        <v>22</v>
      </c>
      <c r="C468" s="1" t="s">
        <v>26</v>
      </c>
      <c r="D468" s="1" t="s">
        <v>31</v>
      </c>
      <c r="E468" s="6">
        <v>46256.541666666664</v>
      </c>
      <c r="F468" s="6">
        <v>46256.599305555559</v>
      </c>
      <c r="G468" s="6">
        <v>46257.5</v>
      </c>
      <c r="H468" s="6">
        <v>46257.488194444442</v>
      </c>
      <c r="I468" s="6">
        <v>46257.625</v>
      </c>
      <c r="J468" s="6">
        <v>46257.553472222222</v>
      </c>
      <c r="K468" s="1" t="s">
        <v>66</v>
      </c>
      <c r="L468" s="1" t="s">
        <v>34</v>
      </c>
      <c r="M468" s="6"/>
      <c r="N468" s="6"/>
      <c r="O468" s="1">
        <v>0</v>
      </c>
      <c r="P468" s="1"/>
      <c r="Q468" s="5">
        <f t="shared" si="49"/>
        <v>1</v>
      </c>
      <c r="R468" s="5">
        <f t="shared" si="50"/>
        <v>1</v>
      </c>
      <c r="S468" s="5">
        <f t="shared" si="51"/>
        <v>0</v>
      </c>
      <c r="T468" s="5">
        <f t="shared" si="52"/>
        <v>0</v>
      </c>
      <c r="U468" s="5">
        <f t="shared" si="53"/>
        <v>0</v>
      </c>
      <c r="V468" s="5" t="str">
        <f t="shared" si="54"/>
        <v>无</v>
      </c>
      <c r="W468" s="5">
        <f t="shared" si="55"/>
        <v>1</v>
      </c>
    </row>
    <row r="469" spans="1:23" ht="17.25" customHeight="1">
      <c r="A469" s="1" t="s">
        <v>535</v>
      </c>
      <c r="B469" s="1" t="s">
        <v>21</v>
      </c>
      <c r="C469" s="1" t="s">
        <v>24</v>
      </c>
      <c r="D469" s="1" t="s">
        <v>29</v>
      </c>
      <c r="E469" s="6">
        <v>46256.576388888891</v>
      </c>
      <c r="F469" s="6">
        <v>46256.630555555559</v>
      </c>
      <c r="G469" s="6">
        <v>46257.416666666664</v>
      </c>
      <c r="H469" s="6">
        <v>46257.375</v>
      </c>
      <c r="I469" s="6">
        <v>46257.583333333336</v>
      </c>
      <c r="J469" s="6">
        <v>46257.428472222222</v>
      </c>
      <c r="K469" s="1" t="s">
        <v>66</v>
      </c>
      <c r="L469" s="1" t="s">
        <v>34</v>
      </c>
      <c r="M469" s="6"/>
      <c r="N469" s="6"/>
      <c r="O469" s="1">
        <v>0</v>
      </c>
      <c r="P469" s="1">
        <v>5</v>
      </c>
      <c r="Q469" s="5">
        <f t="shared" si="49"/>
        <v>1</v>
      </c>
      <c r="R469" s="5">
        <f t="shared" si="50"/>
        <v>1</v>
      </c>
      <c r="S469" s="5">
        <f t="shared" si="51"/>
        <v>0</v>
      </c>
      <c r="T469" s="5">
        <f t="shared" si="52"/>
        <v>0</v>
      </c>
      <c r="U469" s="5">
        <f t="shared" si="53"/>
        <v>0</v>
      </c>
      <c r="V469" s="5" t="str">
        <f t="shared" si="54"/>
        <v>无</v>
      </c>
      <c r="W469" s="5">
        <f t="shared" si="55"/>
        <v>1</v>
      </c>
    </row>
    <row r="470" spans="1:23" ht="17.25" customHeight="1">
      <c r="A470" s="1" t="s">
        <v>536</v>
      </c>
      <c r="B470" s="1" t="s">
        <v>20</v>
      </c>
      <c r="C470" s="1" t="s">
        <v>25</v>
      </c>
      <c r="D470" s="1" t="s">
        <v>28</v>
      </c>
      <c r="E470" s="6">
        <v>46256.614583333336</v>
      </c>
      <c r="F470" s="6">
        <v>46256.768055555556</v>
      </c>
      <c r="G470" s="6">
        <v>46258.416666666664</v>
      </c>
      <c r="H470" s="6">
        <v>46258.375</v>
      </c>
      <c r="I470" s="6">
        <v>46258.625</v>
      </c>
      <c r="J470" s="6">
        <v>46258.445833333331</v>
      </c>
      <c r="K470" s="1" t="s">
        <v>66</v>
      </c>
      <c r="L470" s="1" t="s">
        <v>34</v>
      </c>
      <c r="M470" s="6"/>
      <c r="N470" s="6"/>
      <c r="O470" s="1">
        <v>0</v>
      </c>
      <c r="P470" s="1">
        <v>5</v>
      </c>
      <c r="Q470" s="5">
        <f t="shared" si="49"/>
        <v>1</v>
      </c>
      <c r="R470" s="5">
        <f t="shared" si="50"/>
        <v>1</v>
      </c>
      <c r="S470" s="5">
        <f t="shared" si="51"/>
        <v>0</v>
      </c>
      <c r="T470" s="5">
        <f t="shared" si="52"/>
        <v>0</v>
      </c>
      <c r="U470" s="5">
        <f t="shared" si="53"/>
        <v>0</v>
      </c>
      <c r="V470" s="5" t="str">
        <f t="shared" si="54"/>
        <v>无</v>
      </c>
      <c r="W470" s="5">
        <f t="shared" si="55"/>
        <v>1</v>
      </c>
    </row>
    <row r="471" spans="1:23" ht="17.25" customHeight="1">
      <c r="A471" s="1" t="s">
        <v>537</v>
      </c>
      <c r="B471" s="1" t="s">
        <v>21</v>
      </c>
      <c r="C471" s="1" t="s">
        <v>24</v>
      </c>
      <c r="D471" s="1" t="s">
        <v>29</v>
      </c>
      <c r="E471" s="6">
        <v>46256.614583333336</v>
      </c>
      <c r="F471" s="6">
        <v>46256.761111111111</v>
      </c>
      <c r="G471" s="6">
        <v>46257.708333333336</v>
      </c>
      <c r="H471" s="6">
        <v>46257.65902777778</v>
      </c>
      <c r="I471" s="6">
        <v>46257.875</v>
      </c>
      <c r="J471" s="6">
        <v>46257.695138888892</v>
      </c>
      <c r="K471" s="1" t="s">
        <v>66</v>
      </c>
      <c r="L471" s="1" t="s">
        <v>34</v>
      </c>
      <c r="M471" s="6"/>
      <c r="N471" s="6"/>
      <c r="O471" s="1">
        <v>0</v>
      </c>
      <c r="P471" s="1">
        <v>4</v>
      </c>
      <c r="Q471" s="5">
        <f t="shared" si="49"/>
        <v>1</v>
      </c>
      <c r="R471" s="5">
        <f t="shared" si="50"/>
        <v>1</v>
      </c>
      <c r="S471" s="5">
        <f t="shared" si="51"/>
        <v>0</v>
      </c>
      <c r="T471" s="5">
        <f t="shared" si="52"/>
        <v>0</v>
      </c>
      <c r="U471" s="5">
        <f t="shared" si="53"/>
        <v>0</v>
      </c>
      <c r="V471" s="5" t="str">
        <f t="shared" si="54"/>
        <v>无</v>
      </c>
      <c r="W471" s="5">
        <f t="shared" si="55"/>
        <v>1</v>
      </c>
    </row>
    <row r="472" spans="1:23" ht="17.25" customHeight="1">
      <c r="A472" s="1" t="s">
        <v>538</v>
      </c>
      <c r="B472" s="1" t="s">
        <v>21</v>
      </c>
      <c r="C472" s="1" t="s">
        <v>25</v>
      </c>
      <c r="D472" s="1" t="s">
        <v>30</v>
      </c>
      <c r="E472" s="6">
        <v>46256.614583333336</v>
      </c>
      <c r="F472" s="6">
        <v>46256.727083333331</v>
      </c>
      <c r="G472" s="6">
        <v>46257.5</v>
      </c>
      <c r="H472" s="6">
        <v>46257.492361111108</v>
      </c>
      <c r="I472" s="6">
        <v>46257.708333333336</v>
      </c>
      <c r="J472" s="6">
        <v>46257.54791666667</v>
      </c>
      <c r="K472" s="1" t="s">
        <v>66</v>
      </c>
      <c r="L472" s="1" t="s">
        <v>34</v>
      </c>
      <c r="M472" s="6"/>
      <c r="N472" s="6"/>
      <c r="O472" s="1">
        <v>0</v>
      </c>
      <c r="P472" s="1"/>
      <c r="Q472" s="5">
        <f t="shared" si="49"/>
        <v>1</v>
      </c>
      <c r="R472" s="5">
        <f t="shared" si="50"/>
        <v>1</v>
      </c>
      <c r="S472" s="5">
        <f t="shared" si="51"/>
        <v>0</v>
      </c>
      <c r="T472" s="5">
        <f t="shared" si="52"/>
        <v>0</v>
      </c>
      <c r="U472" s="5">
        <f t="shared" si="53"/>
        <v>0</v>
      </c>
      <c r="V472" s="5" t="str">
        <f t="shared" si="54"/>
        <v>无</v>
      </c>
      <c r="W472" s="5">
        <f t="shared" si="55"/>
        <v>1</v>
      </c>
    </row>
    <row r="473" spans="1:23" ht="17.25" customHeight="1">
      <c r="A473" s="1" t="s">
        <v>539</v>
      </c>
      <c r="B473" s="1" t="s">
        <v>20</v>
      </c>
      <c r="C473" s="1" t="s">
        <v>24</v>
      </c>
      <c r="D473" s="1" t="s">
        <v>28</v>
      </c>
      <c r="E473" s="6">
        <v>46256.635416666664</v>
      </c>
      <c r="F473" s="6">
        <v>46256.678472222222</v>
      </c>
      <c r="G473" s="6">
        <v>46259.625</v>
      </c>
      <c r="H473" s="6">
        <v>46259.585416666669</v>
      </c>
      <c r="I473" s="6">
        <v>46259.791666666664</v>
      </c>
      <c r="J473" s="6">
        <v>46259.669444444444</v>
      </c>
      <c r="K473" s="1" t="s">
        <v>66</v>
      </c>
      <c r="L473" s="1" t="s">
        <v>34</v>
      </c>
      <c r="M473" s="6"/>
      <c r="N473" s="6"/>
      <c r="O473" s="1">
        <v>0</v>
      </c>
      <c r="P473" s="1">
        <v>4</v>
      </c>
      <c r="Q473" s="5">
        <f t="shared" si="49"/>
        <v>1</v>
      </c>
      <c r="R473" s="5">
        <f t="shared" si="50"/>
        <v>1</v>
      </c>
      <c r="S473" s="5">
        <f t="shared" si="51"/>
        <v>0</v>
      </c>
      <c r="T473" s="5">
        <f t="shared" si="52"/>
        <v>0</v>
      </c>
      <c r="U473" s="5">
        <f t="shared" si="53"/>
        <v>0</v>
      </c>
      <c r="V473" s="5" t="str">
        <f t="shared" si="54"/>
        <v>无</v>
      </c>
      <c r="W473" s="5">
        <f t="shared" si="55"/>
        <v>1</v>
      </c>
    </row>
    <row r="474" spans="1:23" ht="17.25" customHeight="1">
      <c r="A474" s="1" t="s">
        <v>540</v>
      </c>
      <c r="B474" s="1" t="s">
        <v>20</v>
      </c>
      <c r="C474" s="1" t="s">
        <v>24</v>
      </c>
      <c r="D474" s="1" t="s">
        <v>27</v>
      </c>
      <c r="E474" s="6">
        <v>46256.645833333336</v>
      </c>
      <c r="F474" s="6">
        <v>46256.788194444445</v>
      </c>
      <c r="G474" s="6">
        <v>46258.416666666664</v>
      </c>
      <c r="H474" s="6">
        <v>46258.365277777775</v>
      </c>
      <c r="I474" s="6">
        <v>46258.583333333336</v>
      </c>
      <c r="J474" s="6"/>
      <c r="K474" s="1" t="s">
        <v>73</v>
      </c>
      <c r="L474" s="1" t="s">
        <v>37</v>
      </c>
      <c r="M474" s="6">
        <v>46258.583333333336</v>
      </c>
      <c r="N474" s="6"/>
      <c r="O474" s="1">
        <v>0</v>
      </c>
      <c r="P474" s="1"/>
      <c r="Q474" s="5">
        <f t="shared" si="49"/>
        <v>1</v>
      </c>
      <c r="R474" s="5">
        <f t="shared" si="50"/>
        <v>0</v>
      </c>
      <c r="S474" s="5">
        <f t="shared" si="51"/>
        <v>1</v>
      </c>
      <c r="T474" s="5">
        <f t="shared" si="52"/>
        <v>0</v>
      </c>
      <c r="U474" s="5">
        <f t="shared" si="53"/>
        <v>1</v>
      </c>
      <c r="V474" s="5" t="str">
        <f t="shared" si="54"/>
        <v>完工超时</v>
      </c>
      <c r="W474" s="5">
        <f t="shared" si="55"/>
        <v>1</v>
      </c>
    </row>
    <row r="475" spans="1:23" ht="17.25" customHeight="1">
      <c r="A475" s="1" t="s">
        <v>541</v>
      </c>
      <c r="B475" s="1" t="s">
        <v>20</v>
      </c>
      <c r="C475" s="1" t="s">
        <v>25</v>
      </c>
      <c r="D475" s="1" t="s">
        <v>28</v>
      </c>
      <c r="E475" s="6">
        <v>46256.673611111109</v>
      </c>
      <c r="F475" s="6">
        <v>46256.723611111112</v>
      </c>
      <c r="G475" s="6">
        <v>46258.625</v>
      </c>
      <c r="H475" s="6">
        <v>46258.603472222225</v>
      </c>
      <c r="I475" s="6">
        <v>46258.833333333336</v>
      </c>
      <c r="J475" s="6">
        <v>46258.700694444444</v>
      </c>
      <c r="K475" s="1" t="s">
        <v>66</v>
      </c>
      <c r="L475" s="1" t="s">
        <v>34</v>
      </c>
      <c r="M475" s="6"/>
      <c r="N475" s="6"/>
      <c r="O475" s="1">
        <v>0</v>
      </c>
      <c r="P475" s="1"/>
      <c r="Q475" s="5">
        <f t="shared" si="49"/>
        <v>1</v>
      </c>
      <c r="R475" s="5">
        <f t="shared" si="50"/>
        <v>1</v>
      </c>
      <c r="S475" s="5">
        <f t="shared" si="51"/>
        <v>0</v>
      </c>
      <c r="T475" s="5">
        <f t="shared" si="52"/>
        <v>0</v>
      </c>
      <c r="U475" s="5">
        <f t="shared" si="53"/>
        <v>0</v>
      </c>
      <c r="V475" s="5" t="str">
        <f t="shared" si="54"/>
        <v>无</v>
      </c>
      <c r="W475" s="5">
        <f t="shared" si="55"/>
        <v>1</v>
      </c>
    </row>
    <row r="476" spans="1:23" ht="17.25" customHeight="1">
      <c r="A476" s="1" t="s">
        <v>542</v>
      </c>
      <c r="B476" s="1" t="s">
        <v>20</v>
      </c>
      <c r="C476" s="1" t="s">
        <v>26</v>
      </c>
      <c r="D476" s="1" t="s">
        <v>28</v>
      </c>
      <c r="E476" s="6">
        <v>46256.684027777781</v>
      </c>
      <c r="F476" s="6">
        <v>46256.834027777775</v>
      </c>
      <c r="G476" s="6">
        <v>46257.625</v>
      </c>
      <c r="H476" s="6">
        <v>46257.572916666664</v>
      </c>
      <c r="I476" s="6">
        <v>46257.75</v>
      </c>
      <c r="J476" s="6">
        <v>46257.665277777778</v>
      </c>
      <c r="K476" s="1" t="s">
        <v>66</v>
      </c>
      <c r="L476" s="1" t="s">
        <v>34</v>
      </c>
      <c r="M476" s="6"/>
      <c r="N476" s="6"/>
      <c r="O476" s="1">
        <v>0</v>
      </c>
      <c r="P476" s="1">
        <v>4</v>
      </c>
      <c r="Q476" s="5">
        <f t="shared" si="49"/>
        <v>1</v>
      </c>
      <c r="R476" s="5">
        <f t="shared" si="50"/>
        <v>1</v>
      </c>
      <c r="S476" s="5">
        <f t="shared" si="51"/>
        <v>0</v>
      </c>
      <c r="T476" s="5">
        <f t="shared" si="52"/>
        <v>0</v>
      </c>
      <c r="U476" s="5">
        <f t="shared" si="53"/>
        <v>0</v>
      </c>
      <c r="V476" s="5" t="str">
        <f t="shared" si="54"/>
        <v>无</v>
      </c>
      <c r="W476" s="5">
        <f t="shared" si="55"/>
        <v>1</v>
      </c>
    </row>
    <row r="477" spans="1:23" ht="17.25" customHeight="1">
      <c r="A477" s="1" t="s">
        <v>543</v>
      </c>
      <c r="B477" s="1" t="s">
        <v>20</v>
      </c>
      <c r="C477" s="1" t="s">
        <v>25</v>
      </c>
      <c r="D477" s="1" t="s">
        <v>28</v>
      </c>
      <c r="E477" s="6">
        <v>46256.704861111109</v>
      </c>
      <c r="F477" s="6">
        <v>46256.800000000003</v>
      </c>
      <c r="G477" s="6">
        <v>46257.5</v>
      </c>
      <c r="H477" s="6">
        <v>46257.474305555559</v>
      </c>
      <c r="I477" s="6">
        <v>46257.708333333336</v>
      </c>
      <c r="J477" s="6">
        <v>46257.525694444441</v>
      </c>
      <c r="K477" s="1" t="s">
        <v>66</v>
      </c>
      <c r="L477" s="1" t="s">
        <v>34</v>
      </c>
      <c r="M477" s="6"/>
      <c r="N477" s="6"/>
      <c r="O477" s="1">
        <v>0</v>
      </c>
      <c r="P477" s="1"/>
      <c r="Q477" s="5">
        <f t="shared" si="49"/>
        <v>1</v>
      </c>
      <c r="R477" s="5">
        <f t="shared" si="50"/>
        <v>1</v>
      </c>
      <c r="S477" s="5">
        <f t="shared" si="51"/>
        <v>0</v>
      </c>
      <c r="T477" s="5">
        <f t="shared" si="52"/>
        <v>0</v>
      </c>
      <c r="U477" s="5">
        <f t="shared" si="53"/>
        <v>0</v>
      </c>
      <c r="V477" s="5" t="str">
        <f t="shared" si="54"/>
        <v>无</v>
      </c>
      <c r="W477" s="5">
        <f t="shared" si="55"/>
        <v>1</v>
      </c>
    </row>
    <row r="478" spans="1:23" ht="17.25" customHeight="1">
      <c r="A478" s="1" t="s">
        <v>544</v>
      </c>
      <c r="B478" s="1" t="s">
        <v>21</v>
      </c>
      <c r="C478" s="1" t="s">
        <v>24</v>
      </c>
      <c r="D478" s="1" t="s">
        <v>30</v>
      </c>
      <c r="E478" s="6">
        <v>46256.729166666664</v>
      </c>
      <c r="F478" s="6">
        <v>46256.838888888888</v>
      </c>
      <c r="G478" s="6">
        <v>46257.5</v>
      </c>
      <c r="H478" s="6">
        <v>46257.491666666669</v>
      </c>
      <c r="I478" s="6">
        <v>46257.666666666664</v>
      </c>
      <c r="J478" s="6">
        <v>46257.695833333331</v>
      </c>
      <c r="K478" s="1" t="s">
        <v>66</v>
      </c>
      <c r="L478" s="1" t="s">
        <v>37</v>
      </c>
      <c r="M478" s="6">
        <v>46257.666666666664</v>
      </c>
      <c r="N478" s="6">
        <v>46257.806250000001</v>
      </c>
      <c r="O478" s="1">
        <v>0</v>
      </c>
      <c r="P478" s="1">
        <v>3</v>
      </c>
      <c r="Q478" s="5">
        <f t="shared" si="49"/>
        <v>1</v>
      </c>
      <c r="R478" s="5">
        <f t="shared" si="50"/>
        <v>0</v>
      </c>
      <c r="S478" s="5">
        <f t="shared" si="51"/>
        <v>1</v>
      </c>
      <c r="T478" s="5">
        <f t="shared" si="52"/>
        <v>1</v>
      </c>
      <c r="U478" s="5">
        <f t="shared" si="53"/>
        <v>0</v>
      </c>
      <c r="V478" s="5" t="str">
        <f t="shared" si="54"/>
        <v>完工超时</v>
      </c>
      <c r="W478" s="5">
        <f t="shared" si="55"/>
        <v>1</v>
      </c>
    </row>
    <row r="479" spans="1:23" ht="17.25" customHeight="1">
      <c r="A479" s="1" t="s">
        <v>545</v>
      </c>
      <c r="B479" s="1" t="s">
        <v>21</v>
      </c>
      <c r="C479" s="1" t="s">
        <v>26</v>
      </c>
      <c r="D479" s="1" t="s">
        <v>30</v>
      </c>
      <c r="E479" s="6">
        <v>46256.777777777781</v>
      </c>
      <c r="F479" s="6">
        <v>46256.904861111114</v>
      </c>
      <c r="G479" s="6">
        <v>46258.708333333336</v>
      </c>
      <c r="H479" s="6">
        <v>46258.667361111111</v>
      </c>
      <c r="I479" s="6">
        <v>46258.833333333336</v>
      </c>
      <c r="J479" s="6">
        <v>46258.727083333331</v>
      </c>
      <c r="K479" s="1" t="s">
        <v>66</v>
      </c>
      <c r="L479" s="1" t="s">
        <v>34</v>
      </c>
      <c r="M479" s="6"/>
      <c r="N479" s="6"/>
      <c r="O479" s="1">
        <v>0</v>
      </c>
      <c r="P479" s="1"/>
      <c r="Q479" s="5">
        <f t="shared" si="49"/>
        <v>1</v>
      </c>
      <c r="R479" s="5">
        <f t="shared" si="50"/>
        <v>1</v>
      </c>
      <c r="S479" s="5">
        <f t="shared" si="51"/>
        <v>0</v>
      </c>
      <c r="T479" s="5">
        <f t="shared" si="52"/>
        <v>0</v>
      </c>
      <c r="U479" s="5">
        <f t="shared" si="53"/>
        <v>0</v>
      </c>
      <c r="V479" s="5" t="str">
        <f t="shared" si="54"/>
        <v>无</v>
      </c>
      <c r="W479" s="5">
        <f t="shared" si="55"/>
        <v>1</v>
      </c>
    </row>
    <row r="480" spans="1:23" ht="17.25" customHeight="1">
      <c r="A480" s="1" t="s">
        <v>546</v>
      </c>
      <c r="B480" s="1" t="s">
        <v>21</v>
      </c>
      <c r="C480" s="1" t="s">
        <v>25</v>
      </c>
      <c r="D480" s="1" t="s">
        <v>30</v>
      </c>
      <c r="E480" s="6">
        <v>46257.333333333336</v>
      </c>
      <c r="F480" s="6">
        <v>46257.359027777777</v>
      </c>
      <c r="G480" s="6">
        <v>46259.708333333336</v>
      </c>
      <c r="H480" s="6">
        <v>46259.752083333333</v>
      </c>
      <c r="I480" s="6">
        <v>46259.916666666664</v>
      </c>
      <c r="J480" s="6">
        <v>46259.787499999999</v>
      </c>
      <c r="K480" s="1" t="s">
        <v>66</v>
      </c>
      <c r="L480" s="1" t="s">
        <v>36</v>
      </c>
      <c r="M480" s="6">
        <v>46259.708333333336</v>
      </c>
      <c r="N480" s="6"/>
      <c r="O480" s="1">
        <v>0</v>
      </c>
      <c r="P480" s="1">
        <v>3</v>
      </c>
      <c r="Q480" s="5">
        <f t="shared" si="49"/>
        <v>0</v>
      </c>
      <c r="R480" s="5">
        <f t="shared" si="50"/>
        <v>1</v>
      </c>
      <c r="S480" s="5">
        <f t="shared" si="51"/>
        <v>1</v>
      </c>
      <c r="T480" s="5">
        <f t="shared" si="52"/>
        <v>0</v>
      </c>
      <c r="U480" s="5">
        <f t="shared" si="53"/>
        <v>1</v>
      </c>
      <c r="V480" s="5" t="str">
        <f t="shared" si="54"/>
        <v>上门超时</v>
      </c>
      <c r="W480" s="5">
        <f t="shared" si="55"/>
        <v>1</v>
      </c>
    </row>
    <row r="481" spans="1:23" ht="17.25" customHeight="1">
      <c r="A481" s="1" t="s">
        <v>547</v>
      </c>
      <c r="B481" s="1" t="s">
        <v>21</v>
      </c>
      <c r="C481" s="1" t="s">
        <v>26</v>
      </c>
      <c r="D481" s="1" t="s">
        <v>29</v>
      </c>
      <c r="E481" s="6">
        <v>46257.354166666664</v>
      </c>
      <c r="F481" s="6">
        <v>46257.386111111111</v>
      </c>
      <c r="G481" s="6">
        <v>46260.708333333336</v>
      </c>
      <c r="H481" s="6">
        <v>46260.65625</v>
      </c>
      <c r="I481" s="6">
        <v>46260.833333333336</v>
      </c>
      <c r="J481" s="6">
        <v>46260.711111111108</v>
      </c>
      <c r="K481" s="1" t="s">
        <v>66</v>
      </c>
      <c r="L481" s="1" t="s">
        <v>34</v>
      </c>
      <c r="M481" s="6"/>
      <c r="N481" s="6"/>
      <c r="O481" s="1">
        <v>0</v>
      </c>
      <c r="P481" s="1">
        <v>5</v>
      </c>
      <c r="Q481" s="5">
        <f t="shared" si="49"/>
        <v>1</v>
      </c>
      <c r="R481" s="5">
        <f t="shared" si="50"/>
        <v>1</v>
      </c>
      <c r="S481" s="5">
        <f t="shared" si="51"/>
        <v>0</v>
      </c>
      <c r="T481" s="5">
        <f t="shared" si="52"/>
        <v>0</v>
      </c>
      <c r="U481" s="5">
        <f t="shared" si="53"/>
        <v>0</v>
      </c>
      <c r="V481" s="5" t="str">
        <f t="shared" si="54"/>
        <v>无</v>
      </c>
      <c r="W481" s="5">
        <f t="shared" si="55"/>
        <v>1</v>
      </c>
    </row>
    <row r="482" spans="1:23" ht="17.25" customHeight="1">
      <c r="A482" s="1" t="s">
        <v>548</v>
      </c>
      <c r="B482" s="1" t="s">
        <v>22</v>
      </c>
      <c r="C482" s="1" t="s">
        <v>25</v>
      </c>
      <c r="D482" s="1" t="s">
        <v>31</v>
      </c>
      <c r="E482" s="6">
        <v>46257.375</v>
      </c>
      <c r="F482" s="6">
        <v>46257.498611111114</v>
      </c>
      <c r="G482" s="6">
        <v>46259.5</v>
      </c>
      <c r="H482" s="6">
        <v>46259.45</v>
      </c>
      <c r="I482" s="6">
        <v>46259.708333333336</v>
      </c>
      <c r="J482" s="6">
        <v>46259.501388888886</v>
      </c>
      <c r="K482" s="1" t="s">
        <v>66</v>
      </c>
      <c r="L482" s="1" t="s">
        <v>34</v>
      </c>
      <c r="M482" s="6"/>
      <c r="N482" s="6"/>
      <c r="O482" s="1">
        <v>0</v>
      </c>
      <c r="P482" s="1">
        <v>3</v>
      </c>
      <c r="Q482" s="5">
        <f t="shared" si="49"/>
        <v>1</v>
      </c>
      <c r="R482" s="5">
        <f t="shared" si="50"/>
        <v>1</v>
      </c>
      <c r="S482" s="5">
        <f t="shared" si="51"/>
        <v>0</v>
      </c>
      <c r="T482" s="5">
        <f t="shared" si="52"/>
        <v>0</v>
      </c>
      <c r="U482" s="5">
        <f t="shared" si="53"/>
        <v>0</v>
      </c>
      <c r="V482" s="5" t="str">
        <f t="shared" si="54"/>
        <v>无</v>
      </c>
      <c r="W482" s="5">
        <f t="shared" si="55"/>
        <v>1</v>
      </c>
    </row>
    <row r="483" spans="1:23" ht="17.25" customHeight="1">
      <c r="A483" s="1" t="s">
        <v>549</v>
      </c>
      <c r="B483" s="1" t="s">
        <v>21</v>
      </c>
      <c r="C483" s="1" t="s">
        <v>26</v>
      </c>
      <c r="D483" s="1" t="s">
        <v>29</v>
      </c>
      <c r="E483" s="6">
        <v>46257.388888888891</v>
      </c>
      <c r="F483" s="6">
        <v>46257.533333333333</v>
      </c>
      <c r="G483" s="6">
        <v>46258.416666666664</v>
      </c>
      <c r="H483" s="6">
        <v>46258.371527777781</v>
      </c>
      <c r="I483" s="6">
        <v>46258.541666666664</v>
      </c>
      <c r="J483" s="6">
        <v>46258.40902777778</v>
      </c>
      <c r="K483" s="1" t="s">
        <v>66</v>
      </c>
      <c r="L483" s="1" t="s">
        <v>34</v>
      </c>
      <c r="M483" s="6"/>
      <c r="N483" s="6"/>
      <c r="O483" s="1">
        <v>0</v>
      </c>
      <c r="P483" s="1"/>
      <c r="Q483" s="5">
        <f t="shared" si="49"/>
        <v>1</v>
      </c>
      <c r="R483" s="5">
        <f t="shared" si="50"/>
        <v>1</v>
      </c>
      <c r="S483" s="5">
        <f t="shared" si="51"/>
        <v>0</v>
      </c>
      <c r="T483" s="5">
        <f t="shared" si="52"/>
        <v>0</v>
      </c>
      <c r="U483" s="5">
        <f t="shared" si="53"/>
        <v>0</v>
      </c>
      <c r="V483" s="5" t="str">
        <f t="shared" si="54"/>
        <v>无</v>
      </c>
      <c r="W483" s="5">
        <f t="shared" si="55"/>
        <v>1</v>
      </c>
    </row>
    <row r="484" spans="1:23" ht="17.25" customHeight="1">
      <c r="A484" s="1" t="s">
        <v>550</v>
      </c>
      <c r="B484" s="1" t="s">
        <v>22</v>
      </c>
      <c r="C484" s="1" t="s">
        <v>25</v>
      </c>
      <c r="D484" s="1" t="s">
        <v>32</v>
      </c>
      <c r="E484" s="6">
        <v>46257.4375</v>
      </c>
      <c r="F484" s="6">
        <v>46257.494444444441</v>
      </c>
      <c r="G484" s="6">
        <v>46258.708333333336</v>
      </c>
      <c r="H484" s="6">
        <v>46258.697222222225</v>
      </c>
      <c r="I484" s="6">
        <v>46258.916666666664</v>
      </c>
      <c r="J484" s="6">
        <v>46258.740972222222</v>
      </c>
      <c r="K484" s="1" t="s">
        <v>66</v>
      </c>
      <c r="L484" s="1" t="s">
        <v>34</v>
      </c>
      <c r="M484" s="6"/>
      <c r="N484" s="6"/>
      <c r="O484" s="1">
        <v>0</v>
      </c>
      <c r="P484" s="1">
        <v>4</v>
      </c>
      <c r="Q484" s="5">
        <f t="shared" si="49"/>
        <v>1</v>
      </c>
      <c r="R484" s="5">
        <f t="shared" si="50"/>
        <v>1</v>
      </c>
      <c r="S484" s="5">
        <f t="shared" si="51"/>
        <v>0</v>
      </c>
      <c r="T484" s="5">
        <f t="shared" si="52"/>
        <v>0</v>
      </c>
      <c r="U484" s="5">
        <f t="shared" si="53"/>
        <v>0</v>
      </c>
      <c r="V484" s="5" t="str">
        <f t="shared" si="54"/>
        <v>无</v>
      </c>
      <c r="W484" s="5">
        <f t="shared" si="55"/>
        <v>1</v>
      </c>
    </row>
    <row r="485" spans="1:23" ht="17.25" customHeight="1">
      <c r="A485" s="1" t="s">
        <v>551</v>
      </c>
      <c r="B485" s="1" t="s">
        <v>20</v>
      </c>
      <c r="C485" s="1" t="s">
        <v>25</v>
      </c>
      <c r="D485" s="1" t="s">
        <v>28</v>
      </c>
      <c r="E485" s="6">
        <v>46257.486111111109</v>
      </c>
      <c r="F485" s="6">
        <v>46257.625694444447</v>
      </c>
      <c r="G485" s="6">
        <v>46258.416666666664</v>
      </c>
      <c r="H485" s="6">
        <v>46258.382638888892</v>
      </c>
      <c r="I485" s="6">
        <v>46258.625</v>
      </c>
      <c r="J485" s="6"/>
      <c r="K485" s="1" t="s">
        <v>73</v>
      </c>
      <c r="L485" s="1" t="s">
        <v>37</v>
      </c>
      <c r="M485" s="6">
        <v>46258.625</v>
      </c>
      <c r="N485" s="6"/>
      <c r="O485" s="1">
        <v>0</v>
      </c>
      <c r="P485" s="1"/>
      <c r="Q485" s="5">
        <f t="shared" si="49"/>
        <v>1</v>
      </c>
      <c r="R485" s="5">
        <f t="shared" si="50"/>
        <v>0</v>
      </c>
      <c r="S485" s="5">
        <f t="shared" si="51"/>
        <v>1</v>
      </c>
      <c r="T485" s="5">
        <f t="shared" si="52"/>
        <v>0</v>
      </c>
      <c r="U485" s="5">
        <f t="shared" si="53"/>
        <v>1</v>
      </c>
      <c r="V485" s="5" t="str">
        <f t="shared" si="54"/>
        <v>完工超时</v>
      </c>
      <c r="W485" s="5">
        <f t="shared" si="55"/>
        <v>1</v>
      </c>
    </row>
    <row r="486" spans="1:23" ht="17.25" customHeight="1">
      <c r="A486" s="1" t="s">
        <v>552</v>
      </c>
      <c r="B486" s="1" t="s">
        <v>21</v>
      </c>
      <c r="C486" s="1" t="s">
        <v>26</v>
      </c>
      <c r="D486" s="1" t="s">
        <v>29</v>
      </c>
      <c r="E486" s="6">
        <v>46257.496527777781</v>
      </c>
      <c r="F486" s="6">
        <v>46257.618055555555</v>
      </c>
      <c r="G486" s="6">
        <v>46258.625</v>
      </c>
      <c r="H486" s="6">
        <v>46258.660416666666</v>
      </c>
      <c r="I486" s="6">
        <v>46258.75</v>
      </c>
      <c r="J486" s="6">
        <v>46258.754166666666</v>
      </c>
      <c r="K486" s="1" t="s">
        <v>66</v>
      </c>
      <c r="L486" s="1" t="s">
        <v>36</v>
      </c>
      <c r="M486" s="6">
        <v>46258.625</v>
      </c>
      <c r="N486" s="6"/>
      <c r="O486" s="1">
        <v>0</v>
      </c>
      <c r="P486" s="1">
        <v>3</v>
      </c>
      <c r="Q486" s="5">
        <f t="shared" si="49"/>
        <v>0</v>
      </c>
      <c r="R486" s="5">
        <f t="shared" si="50"/>
        <v>0</v>
      </c>
      <c r="S486" s="5">
        <f t="shared" si="51"/>
        <v>1</v>
      </c>
      <c r="T486" s="5">
        <f t="shared" si="52"/>
        <v>0</v>
      </c>
      <c r="U486" s="5">
        <f t="shared" si="53"/>
        <v>1</v>
      </c>
      <c r="V486" s="5" t="str">
        <f t="shared" si="54"/>
        <v>上门超时</v>
      </c>
      <c r="W486" s="5">
        <f t="shared" si="55"/>
        <v>1</v>
      </c>
    </row>
    <row r="487" spans="1:23" ht="17.25" customHeight="1">
      <c r="A487" s="1" t="s">
        <v>553</v>
      </c>
      <c r="B487" s="1" t="s">
        <v>21</v>
      </c>
      <c r="C487" s="1" t="s">
        <v>24</v>
      </c>
      <c r="D487" s="1" t="s">
        <v>30</v>
      </c>
      <c r="E487" s="6">
        <v>46257.5</v>
      </c>
      <c r="F487" s="6">
        <v>46257.552777777775</v>
      </c>
      <c r="G487" s="6">
        <v>46258.625</v>
      </c>
      <c r="H487" s="6">
        <v>46258.594444444447</v>
      </c>
      <c r="I487" s="6">
        <v>46258.791666666664</v>
      </c>
      <c r="J487" s="6">
        <v>46258.632638888892</v>
      </c>
      <c r="K487" s="1" t="s">
        <v>66</v>
      </c>
      <c r="L487" s="1" t="s">
        <v>34</v>
      </c>
      <c r="M487" s="6"/>
      <c r="N487" s="6"/>
      <c r="O487" s="1">
        <v>0</v>
      </c>
      <c r="P487" s="1">
        <v>3</v>
      </c>
      <c r="Q487" s="5">
        <f t="shared" si="49"/>
        <v>1</v>
      </c>
      <c r="R487" s="5">
        <f t="shared" si="50"/>
        <v>1</v>
      </c>
      <c r="S487" s="5">
        <f t="shared" si="51"/>
        <v>0</v>
      </c>
      <c r="T487" s="5">
        <f t="shared" si="52"/>
        <v>0</v>
      </c>
      <c r="U487" s="5">
        <f t="shared" si="53"/>
        <v>0</v>
      </c>
      <c r="V487" s="5" t="str">
        <f t="shared" si="54"/>
        <v>无</v>
      </c>
      <c r="W487" s="5">
        <f t="shared" si="55"/>
        <v>1</v>
      </c>
    </row>
    <row r="488" spans="1:23" ht="17.25" customHeight="1">
      <c r="A488" s="1" t="s">
        <v>554</v>
      </c>
      <c r="B488" s="1" t="s">
        <v>22</v>
      </c>
      <c r="C488" s="1" t="s">
        <v>25</v>
      </c>
      <c r="D488" s="1" t="s">
        <v>32</v>
      </c>
      <c r="E488" s="6">
        <v>46257.506944444445</v>
      </c>
      <c r="F488" s="6">
        <v>46260.551388888889</v>
      </c>
      <c r="G488" s="6">
        <v>46260.5</v>
      </c>
      <c r="H488" s="6">
        <v>46260.617361111108</v>
      </c>
      <c r="I488" s="6">
        <v>46260.708333333336</v>
      </c>
      <c r="J488" s="6">
        <v>46260.663194444445</v>
      </c>
      <c r="K488" s="1" t="s">
        <v>66</v>
      </c>
      <c r="L488" s="1" t="s">
        <v>35</v>
      </c>
      <c r="M488" s="6">
        <v>46260.5</v>
      </c>
      <c r="N488" s="6">
        <v>46260.754166666666</v>
      </c>
      <c r="O488" s="1">
        <v>0</v>
      </c>
      <c r="P488" s="1">
        <v>3</v>
      </c>
      <c r="Q488" s="5">
        <f t="shared" si="49"/>
        <v>0</v>
      </c>
      <c r="R488" s="5">
        <f t="shared" si="50"/>
        <v>1</v>
      </c>
      <c r="S488" s="5">
        <f t="shared" si="51"/>
        <v>1</v>
      </c>
      <c r="T488" s="5">
        <f t="shared" si="52"/>
        <v>1</v>
      </c>
      <c r="U488" s="5">
        <f t="shared" si="53"/>
        <v>0</v>
      </c>
      <c r="V488" s="5" t="str">
        <f t="shared" si="54"/>
        <v>派单超时</v>
      </c>
      <c r="W488" s="5">
        <f t="shared" si="55"/>
        <v>1</v>
      </c>
    </row>
    <row r="489" spans="1:23" ht="17.25" customHeight="1">
      <c r="A489" s="1" t="s">
        <v>555</v>
      </c>
      <c r="B489" s="1" t="s">
        <v>21</v>
      </c>
      <c r="C489" s="1" t="s">
        <v>25</v>
      </c>
      <c r="D489" s="1" t="s">
        <v>30</v>
      </c>
      <c r="E489" s="6">
        <v>46257.527777777781</v>
      </c>
      <c r="F489" s="6">
        <v>46257.580555555556</v>
      </c>
      <c r="G489" s="6">
        <v>46258.625</v>
      </c>
      <c r="H489" s="6">
        <v>46258.612500000003</v>
      </c>
      <c r="I489" s="6">
        <v>46258.833333333336</v>
      </c>
      <c r="J489" s="6">
        <v>46258.676388888889</v>
      </c>
      <c r="K489" s="1" t="s">
        <v>66</v>
      </c>
      <c r="L489" s="1" t="s">
        <v>34</v>
      </c>
      <c r="M489" s="6"/>
      <c r="N489" s="6"/>
      <c r="O489" s="1">
        <v>0</v>
      </c>
      <c r="P489" s="1">
        <v>5</v>
      </c>
      <c r="Q489" s="5">
        <f t="shared" si="49"/>
        <v>1</v>
      </c>
      <c r="R489" s="5">
        <f t="shared" si="50"/>
        <v>1</v>
      </c>
      <c r="S489" s="5">
        <f t="shared" si="51"/>
        <v>0</v>
      </c>
      <c r="T489" s="5">
        <f t="shared" si="52"/>
        <v>0</v>
      </c>
      <c r="U489" s="5">
        <f t="shared" si="53"/>
        <v>0</v>
      </c>
      <c r="V489" s="5" t="str">
        <f t="shared" si="54"/>
        <v>无</v>
      </c>
      <c r="W489" s="5">
        <f t="shared" si="55"/>
        <v>1</v>
      </c>
    </row>
    <row r="490" spans="1:23" ht="17.25" customHeight="1">
      <c r="A490" s="1" t="s">
        <v>556</v>
      </c>
      <c r="B490" s="1" t="s">
        <v>20</v>
      </c>
      <c r="C490" s="1" t="s">
        <v>24</v>
      </c>
      <c r="D490" s="1" t="s">
        <v>27</v>
      </c>
      <c r="E490" s="6">
        <v>46257.53125</v>
      </c>
      <c r="F490" s="6">
        <v>46257.552777777775</v>
      </c>
      <c r="G490" s="6">
        <v>46260.625</v>
      </c>
      <c r="H490" s="6">
        <v>46260.649305555555</v>
      </c>
      <c r="I490" s="6">
        <v>46260.791666666664</v>
      </c>
      <c r="J490" s="6">
        <v>46260.713888888888</v>
      </c>
      <c r="K490" s="1" t="s">
        <v>66</v>
      </c>
      <c r="L490" s="1" t="s">
        <v>36</v>
      </c>
      <c r="M490" s="6">
        <v>46260.625</v>
      </c>
      <c r="N490" s="6">
        <v>46260.95</v>
      </c>
      <c r="O490" s="1">
        <v>0</v>
      </c>
      <c r="P490" s="1">
        <v>2</v>
      </c>
      <c r="Q490" s="5">
        <f t="shared" si="49"/>
        <v>0</v>
      </c>
      <c r="R490" s="5">
        <f t="shared" si="50"/>
        <v>1</v>
      </c>
      <c r="S490" s="5">
        <f t="shared" si="51"/>
        <v>1</v>
      </c>
      <c r="T490" s="5">
        <f t="shared" si="52"/>
        <v>1</v>
      </c>
      <c r="U490" s="5">
        <f t="shared" si="53"/>
        <v>0</v>
      </c>
      <c r="V490" s="5" t="str">
        <f t="shared" si="54"/>
        <v>上门超时</v>
      </c>
      <c r="W490" s="5">
        <f t="shared" si="55"/>
        <v>1</v>
      </c>
    </row>
    <row r="491" spans="1:23" ht="17.25" customHeight="1">
      <c r="A491" s="1" t="s">
        <v>557</v>
      </c>
      <c r="B491" s="1" t="s">
        <v>20</v>
      </c>
      <c r="C491" s="1" t="s">
        <v>25</v>
      </c>
      <c r="D491" s="1" t="s">
        <v>27</v>
      </c>
      <c r="E491" s="6">
        <v>46257.534722222219</v>
      </c>
      <c r="F491" s="6">
        <v>46257.629166666666</v>
      </c>
      <c r="G491" s="6">
        <v>46259.708333333336</v>
      </c>
      <c r="H491" s="6">
        <v>46259.697222222225</v>
      </c>
      <c r="I491" s="6">
        <v>46259.916666666664</v>
      </c>
      <c r="J491" s="6">
        <v>46259.734722222223</v>
      </c>
      <c r="K491" s="1" t="s">
        <v>66</v>
      </c>
      <c r="L491" s="1" t="s">
        <v>34</v>
      </c>
      <c r="M491" s="6"/>
      <c r="N491" s="6"/>
      <c r="O491" s="1">
        <v>0</v>
      </c>
      <c r="P491" s="1">
        <v>5</v>
      </c>
      <c r="Q491" s="5">
        <f t="shared" si="49"/>
        <v>1</v>
      </c>
      <c r="R491" s="5">
        <f t="shared" si="50"/>
        <v>1</v>
      </c>
      <c r="S491" s="5">
        <f t="shared" si="51"/>
        <v>0</v>
      </c>
      <c r="T491" s="5">
        <f t="shared" si="52"/>
        <v>0</v>
      </c>
      <c r="U491" s="5">
        <f t="shared" si="53"/>
        <v>0</v>
      </c>
      <c r="V491" s="5" t="str">
        <f t="shared" si="54"/>
        <v>无</v>
      </c>
      <c r="W491" s="5">
        <f t="shared" si="55"/>
        <v>1</v>
      </c>
    </row>
    <row r="492" spans="1:23" ht="17.25" customHeight="1">
      <c r="A492" s="1" t="s">
        <v>558</v>
      </c>
      <c r="B492" s="1" t="s">
        <v>20</v>
      </c>
      <c r="C492" s="1" t="s">
        <v>24</v>
      </c>
      <c r="D492" s="1" t="s">
        <v>28</v>
      </c>
      <c r="E492" s="6">
        <v>46257.552083333336</v>
      </c>
      <c r="F492" s="6">
        <v>46257.646527777775</v>
      </c>
      <c r="G492" s="6">
        <v>46259.5</v>
      </c>
      <c r="H492" s="6">
        <v>46259.455555555556</v>
      </c>
      <c r="I492" s="6">
        <v>46259.666666666664</v>
      </c>
      <c r="J492" s="6">
        <v>46259.5</v>
      </c>
      <c r="K492" s="1" t="s">
        <v>66</v>
      </c>
      <c r="L492" s="1" t="s">
        <v>34</v>
      </c>
      <c r="M492" s="6"/>
      <c r="N492" s="6"/>
      <c r="O492" s="1">
        <v>0</v>
      </c>
      <c r="P492" s="1">
        <v>5</v>
      </c>
      <c r="Q492" s="5">
        <f t="shared" si="49"/>
        <v>1</v>
      </c>
      <c r="R492" s="5">
        <f t="shared" si="50"/>
        <v>1</v>
      </c>
      <c r="S492" s="5">
        <f t="shared" si="51"/>
        <v>0</v>
      </c>
      <c r="T492" s="5">
        <f t="shared" si="52"/>
        <v>0</v>
      </c>
      <c r="U492" s="5">
        <f t="shared" si="53"/>
        <v>0</v>
      </c>
      <c r="V492" s="5" t="str">
        <f t="shared" si="54"/>
        <v>无</v>
      </c>
      <c r="W492" s="5">
        <f t="shared" si="55"/>
        <v>1</v>
      </c>
    </row>
    <row r="493" spans="1:23" ht="17.25" customHeight="1">
      <c r="A493" s="1" t="s">
        <v>559</v>
      </c>
      <c r="B493" s="1" t="s">
        <v>20</v>
      </c>
      <c r="C493" s="1" t="s">
        <v>24</v>
      </c>
      <c r="D493" s="1" t="s">
        <v>27</v>
      </c>
      <c r="E493" s="6">
        <v>46257.5625</v>
      </c>
      <c r="F493" s="6">
        <v>46257.692361111112</v>
      </c>
      <c r="G493" s="6">
        <v>46259.5</v>
      </c>
      <c r="H493" s="6">
        <v>46259.482638888891</v>
      </c>
      <c r="I493" s="6">
        <v>46259.666666666664</v>
      </c>
      <c r="J493" s="6">
        <v>46259.537499999999</v>
      </c>
      <c r="K493" s="1" t="s">
        <v>66</v>
      </c>
      <c r="L493" s="1" t="s">
        <v>34</v>
      </c>
      <c r="M493" s="6"/>
      <c r="N493" s="6"/>
      <c r="O493" s="1">
        <v>0</v>
      </c>
      <c r="P493" s="1">
        <v>4</v>
      </c>
      <c r="Q493" s="5">
        <f t="shared" si="49"/>
        <v>1</v>
      </c>
      <c r="R493" s="5">
        <f t="shared" si="50"/>
        <v>1</v>
      </c>
      <c r="S493" s="5">
        <f t="shared" si="51"/>
        <v>0</v>
      </c>
      <c r="T493" s="5">
        <f t="shared" si="52"/>
        <v>0</v>
      </c>
      <c r="U493" s="5">
        <f t="shared" si="53"/>
        <v>0</v>
      </c>
      <c r="V493" s="5" t="str">
        <f t="shared" si="54"/>
        <v>无</v>
      </c>
      <c r="W493" s="5">
        <f t="shared" si="55"/>
        <v>1</v>
      </c>
    </row>
    <row r="494" spans="1:23" ht="17.25" customHeight="1">
      <c r="A494" s="1" t="s">
        <v>560</v>
      </c>
      <c r="B494" s="1" t="s">
        <v>20</v>
      </c>
      <c r="C494" s="1" t="s">
        <v>26</v>
      </c>
      <c r="D494" s="1" t="s">
        <v>27</v>
      </c>
      <c r="E494" s="6">
        <v>46257.597222222219</v>
      </c>
      <c r="F494" s="6">
        <v>46257.661111111112</v>
      </c>
      <c r="G494" s="6">
        <v>46258.416666666664</v>
      </c>
      <c r="H494" s="6">
        <v>46258.395138888889</v>
      </c>
      <c r="I494" s="6">
        <v>46258.541666666664</v>
      </c>
      <c r="J494" s="6">
        <v>46258.461111111108</v>
      </c>
      <c r="K494" s="1" t="s">
        <v>66</v>
      </c>
      <c r="L494" s="1" t="s">
        <v>34</v>
      </c>
      <c r="M494" s="6"/>
      <c r="N494" s="6"/>
      <c r="O494" s="1">
        <v>0</v>
      </c>
      <c r="P494" s="1"/>
      <c r="Q494" s="5">
        <f t="shared" si="49"/>
        <v>1</v>
      </c>
      <c r="R494" s="5">
        <f t="shared" si="50"/>
        <v>1</v>
      </c>
      <c r="S494" s="5">
        <f t="shared" si="51"/>
        <v>0</v>
      </c>
      <c r="T494" s="5">
        <f t="shared" si="52"/>
        <v>0</v>
      </c>
      <c r="U494" s="5">
        <f t="shared" si="53"/>
        <v>0</v>
      </c>
      <c r="V494" s="5" t="str">
        <f t="shared" si="54"/>
        <v>无</v>
      </c>
      <c r="W494" s="5">
        <f t="shared" si="55"/>
        <v>1</v>
      </c>
    </row>
    <row r="495" spans="1:23" ht="17.25" customHeight="1">
      <c r="A495" s="1" t="s">
        <v>561</v>
      </c>
      <c r="B495" s="1" t="s">
        <v>21</v>
      </c>
      <c r="C495" s="1" t="s">
        <v>25</v>
      </c>
      <c r="D495" s="1" t="s">
        <v>30</v>
      </c>
      <c r="E495" s="6">
        <v>46257.631944444445</v>
      </c>
      <c r="F495" s="6">
        <v>46257.741666666669</v>
      </c>
      <c r="G495" s="6">
        <v>46258.5</v>
      </c>
      <c r="H495" s="6">
        <v>46258.479166666664</v>
      </c>
      <c r="I495" s="6">
        <v>46258.708333333336</v>
      </c>
      <c r="J495" s="6">
        <v>46258.536111111112</v>
      </c>
      <c r="K495" s="1" t="s">
        <v>66</v>
      </c>
      <c r="L495" s="1" t="s">
        <v>34</v>
      </c>
      <c r="M495" s="6"/>
      <c r="N495" s="6"/>
      <c r="O495" s="1">
        <v>0</v>
      </c>
      <c r="P495" s="1"/>
      <c r="Q495" s="5">
        <f t="shared" si="49"/>
        <v>1</v>
      </c>
      <c r="R495" s="5">
        <f t="shared" si="50"/>
        <v>1</v>
      </c>
      <c r="S495" s="5">
        <f t="shared" si="51"/>
        <v>0</v>
      </c>
      <c r="T495" s="5">
        <f t="shared" si="52"/>
        <v>0</v>
      </c>
      <c r="U495" s="5">
        <f t="shared" si="53"/>
        <v>0</v>
      </c>
      <c r="V495" s="5" t="str">
        <f t="shared" si="54"/>
        <v>无</v>
      </c>
      <c r="W495" s="5">
        <f t="shared" si="55"/>
        <v>1</v>
      </c>
    </row>
    <row r="496" spans="1:23" ht="17.25" customHeight="1">
      <c r="A496" s="1" t="s">
        <v>562</v>
      </c>
      <c r="B496" s="1" t="s">
        <v>20</v>
      </c>
      <c r="C496" s="1" t="s">
        <v>25</v>
      </c>
      <c r="D496" s="1" t="s">
        <v>27</v>
      </c>
      <c r="E496" s="6">
        <v>46257.684027777781</v>
      </c>
      <c r="F496" s="6">
        <v>46257.813194444447</v>
      </c>
      <c r="G496" s="6">
        <v>46258.625</v>
      </c>
      <c r="H496" s="6">
        <v>46258.597916666666</v>
      </c>
      <c r="I496" s="6">
        <v>46258.833333333336</v>
      </c>
      <c r="J496" s="6">
        <v>46258.685416666667</v>
      </c>
      <c r="K496" s="1" t="s">
        <v>66</v>
      </c>
      <c r="L496" s="1" t="s">
        <v>34</v>
      </c>
      <c r="M496" s="6"/>
      <c r="N496" s="6"/>
      <c r="O496" s="1">
        <v>0</v>
      </c>
      <c r="P496" s="1">
        <v>5</v>
      </c>
      <c r="Q496" s="5">
        <f t="shared" si="49"/>
        <v>1</v>
      </c>
      <c r="R496" s="5">
        <f t="shared" si="50"/>
        <v>1</v>
      </c>
      <c r="S496" s="5">
        <f t="shared" si="51"/>
        <v>0</v>
      </c>
      <c r="T496" s="5">
        <f t="shared" si="52"/>
        <v>0</v>
      </c>
      <c r="U496" s="5">
        <f t="shared" si="53"/>
        <v>0</v>
      </c>
      <c r="V496" s="5" t="str">
        <f t="shared" si="54"/>
        <v>无</v>
      </c>
      <c r="W496" s="5">
        <f t="shared" si="55"/>
        <v>1</v>
      </c>
    </row>
    <row r="497" spans="1:23" ht="17.25" customHeight="1">
      <c r="A497" s="1" t="s">
        <v>563</v>
      </c>
      <c r="B497" s="1" t="s">
        <v>21</v>
      </c>
      <c r="C497" s="1" t="s">
        <v>26</v>
      </c>
      <c r="D497" s="1" t="s">
        <v>30</v>
      </c>
      <c r="E497" s="6">
        <v>46257.684027777781</v>
      </c>
      <c r="F497" s="6">
        <v>46258.7</v>
      </c>
      <c r="G497" s="6">
        <v>46258.625</v>
      </c>
      <c r="H497" s="6">
        <v>46258.779166666667</v>
      </c>
      <c r="I497" s="6">
        <v>46258.75</v>
      </c>
      <c r="J497" s="6">
        <v>46258.874305555553</v>
      </c>
      <c r="K497" s="1" t="s">
        <v>66</v>
      </c>
      <c r="L497" s="1" t="s">
        <v>35</v>
      </c>
      <c r="M497" s="6">
        <v>46258.625</v>
      </c>
      <c r="N497" s="6"/>
      <c r="O497" s="1">
        <v>0</v>
      </c>
      <c r="P497" s="1">
        <v>4</v>
      </c>
      <c r="Q497" s="5">
        <f t="shared" si="49"/>
        <v>0</v>
      </c>
      <c r="R497" s="5">
        <f t="shared" si="50"/>
        <v>0</v>
      </c>
      <c r="S497" s="5">
        <f t="shared" si="51"/>
        <v>1</v>
      </c>
      <c r="T497" s="5">
        <f t="shared" si="52"/>
        <v>0</v>
      </c>
      <c r="U497" s="5">
        <f t="shared" si="53"/>
        <v>1</v>
      </c>
      <c r="V497" s="5" t="str">
        <f t="shared" si="54"/>
        <v>派单超时</v>
      </c>
      <c r="W497" s="5">
        <f t="shared" si="55"/>
        <v>1</v>
      </c>
    </row>
    <row r="498" spans="1:23" ht="17.25" customHeight="1">
      <c r="A498" s="1" t="s">
        <v>564</v>
      </c>
      <c r="B498" s="1" t="s">
        <v>21</v>
      </c>
      <c r="C498" s="1" t="s">
        <v>24</v>
      </c>
      <c r="D498" s="1" t="s">
        <v>29</v>
      </c>
      <c r="E498" s="6">
        <v>46257.711805555555</v>
      </c>
      <c r="F498" s="6">
        <v>46257.819444444445</v>
      </c>
      <c r="G498" s="6">
        <v>46259.5</v>
      </c>
      <c r="H498" s="6">
        <v>46259.491666666669</v>
      </c>
      <c r="I498" s="6">
        <v>46259.666666666664</v>
      </c>
      <c r="J498" s="6">
        <v>46259.563888888886</v>
      </c>
      <c r="K498" s="1" t="s">
        <v>66</v>
      </c>
      <c r="L498" s="1" t="s">
        <v>34</v>
      </c>
      <c r="M498" s="6"/>
      <c r="N498" s="6"/>
      <c r="O498" s="1">
        <v>0</v>
      </c>
      <c r="P498" s="1"/>
      <c r="Q498" s="5">
        <f t="shared" si="49"/>
        <v>1</v>
      </c>
      <c r="R498" s="5">
        <f t="shared" si="50"/>
        <v>1</v>
      </c>
      <c r="S498" s="5">
        <f t="shared" si="51"/>
        <v>0</v>
      </c>
      <c r="T498" s="5">
        <f t="shared" si="52"/>
        <v>0</v>
      </c>
      <c r="U498" s="5">
        <f t="shared" si="53"/>
        <v>0</v>
      </c>
      <c r="V498" s="5" t="str">
        <f t="shared" si="54"/>
        <v>无</v>
      </c>
      <c r="W498" s="5">
        <f t="shared" si="55"/>
        <v>1</v>
      </c>
    </row>
    <row r="499" spans="1:23" ht="17.25" customHeight="1">
      <c r="A499" s="1" t="s">
        <v>565</v>
      </c>
      <c r="B499" s="1" t="s">
        <v>22</v>
      </c>
      <c r="C499" s="1" t="s">
        <v>24</v>
      </c>
      <c r="D499" s="1" t="s">
        <v>32</v>
      </c>
      <c r="E499" s="6">
        <v>46257.722222222219</v>
      </c>
      <c r="F499" s="6">
        <v>46257.796527777777</v>
      </c>
      <c r="G499" s="6">
        <v>46258.708333333336</v>
      </c>
      <c r="H499" s="6">
        <v>46258.664583333331</v>
      </c>
      <c r="I499" s="6">
        <v>46258.875</v>
      </c>
      <c r="J499" s="6">
        <v>46258.767361111109</v>
      </c>
      <c r="K499" s="1" t="s">
        <v>66</v>
      </c>
      <c r="L499" s="1" t="s">
        <v>34</v>
      </c>
      <c r="M499" s="6"/>
      <c r="N499" s="6"/>
      <c r="O499" s="1">
        <v>0</v>
      </c>
      <c r="P499" s="1">
        <v>3</v>
      </c>
      <c r="Q499" s="5">
        <f t="shared" si="49"/>
        <v>1</v>
      </c>
      <c r="R499" s="5">
        <f t="shared" si="50"/>
        <v>1</v>
      </c>
      <c r="S499" s="5">
        <f t="shared" si="51"/>
        <v>0</v>
      </c>
      <c r="T499" s="5">
        <f t="shared" si="52"/>
        <v>0</v>
      </c>
      <c r="U499" s="5">
        <f t="shared" si="53"/>
        <v>0</v>
      </c>
      <c r="V499" s="5" t="str">
        <f t="shared" si="54"/>
        <v>无</v>
      </c>
      <c r="W499" s="5">
        <f t="shared" si="55"/>
        <v>1</v>
      </c>
    </row>
    <row r="500" spans="1:23" ht="17.25" customHeight="1">
      <c r="A500" s="1" t="s">
        <v>566</v>
      </c>
      <c r="B500" s="1" t="s">
        <v>20</v>
      </c>
      <c r="C500" s="1" t="s">
        <v>24</v>
      </c>
      <c r="D500" s="1" t="s">
        <v>28</v>
      </c>
      <c r="E500" s="6">
        <v>46257.732638888891</v>
      </c>
      <c r="F500" s="6">
        <v>46257.847222222219</v>
      </c>
      <c r="G500" s="6">
        <v>46258.5</v>
      </c>
      <c r="H500" s="6">
        <v>46258.537499999999</v>
      </c>
      <c r="I500" s="6">
        <v>46258.666666666664</v>
      </c>
      <c r="J500" s="6">
        <v>46258.623611111114</v>
      </c>
      <c r="K500" s="1" t="s">
        <v>66</v>
      </c>
      <c r="L500" s="1" t="s">
        <v>36</v>
      </c>
      <c r="M500" s="6">
        <v>46258.5</v>
      </c>
      <c r="N500" s="6">
        <v>46258.811111111114</v>
      </c>
      <c r="O500" s="1">
        <v>1</v>
      </c>
      <c r="P500" s="1"/>
      <c r="Q500" s="5">
        <f t="shared" si="49"/>
        <v>0</v>
      </c>
      <c r="R500" s="5">
        <f t="shared" si="50"/>
        <v>1</v>
      </c>
      <c r="S500" s="5">
        <f t="shared" si="51"/>
        <v>1</v>
      </c>
      <c r="T500" s="5">
        <f t="shared" si="52"/>
        <v>1</v>
      </c>
      <c r="U500" s="5">
        <f t="shared" si="53"/>
        <v>0</v>
      </c>
      <c r="V500" s="5" t="str">
        <f t="shared" si="54"/>
        <v>上门超时</v>
      </c>
      <c r="W500" s="5">
        <f t="shared" si="55"/>
        <v>1</v>
      </c>
    </row>
    <row r="501" spans="1:23" ht="17.25" customHeight="1">
      <c r="A501" s="1" t="s">
        <v>567</v>
      </c>
      <c r="B501" s="1" t="s">
        <v>20</v>
      </c>
      <c r="C501" s="1" t="s">
        <v>25</v>
      </c>
      <c r="D501" s="1" t="s">
        <v>27</v>
      </c>
      <c r="E501" s="6">
        <v>46257.760416666664</v>
      </c>
      <c r="F501" s="6">
        <v>46257.791666666664</v>
      </c>
      <c r="G501" s="6">
        <v>46259.625</v>
      </c>
      <c r="H501" s="6">
        <v>46259.600694444445</v>
      </c>
      <c r="I501" s="6">
        <v>46259.833333333336</v>
      </c>
      <c r="J501" s="6">
        <v>46259.682638888888</v>
      </c>
      <c r="K501" s="1" t="s">
        <v>66</v>
      </c>
      <c r="L501" s="1" t="s">
        <v>34</v>
      </c>
      <c r="M501" s="6"/>
      <c r="N501" s="6"/>
      <c r="O501" s="1">
        <v>0</v>
      </c>
      <c r="P501" s="1">
        <v>3</v>
      </c>
      <c r="Q501" s="5">
        <f t="shared" si="49"/>
        <v>1</v>
      </c>
      <c r="R501" s="5">
        <f t="shared" si="50"/>
        <v>1</v>
      </c>
      <c r="S501" s="5">
        <f t="shared" si="51"/>
        <v>0</v>
      </c>
      <c r="T501" s="5">
        <f t="shared" si="52"/>
        <v>0</v>
      </c>
      <c r="U501" s="5">
        <f t="shared" si="53"/>
        <v>0</v>
      </c>
      <c r="V501" s="5" t="str">
        <f t="shared" si="54"/>
        <v>无</v>
      </c>
      <c r="W501" s="5">
        <f t="shared" si="55"/>
        <v>1</v>
      </c>
    </row>
    <row r="502" spans="1:23" ht="17.25" customHeight="1">
      <c r="A502" s="1" t="s">
        <v>568</v>
      </c>
      <c r="B502" s="1" t="s">
        <v>22</v>
      </c>
      <c r="C502" s="1" t="s">
        <v>24</v>
      </c>
      <c r="D502" s="1" t="s">
        <v>31</v>
      </c>
      <c r="E502" s="6">
        <v>46257.784722222219</v>
      </c>
      <c r="F502" s="6">
        <v>46257.859722222223</v>
      </c>
      <c r="G502" s="6">
        <v>46259.416666666664</v>
      </c>
      <c r="H502" s="6">
        <v>46259.408333333333</v>
      </c>
      <c r="I502" s="6">
        <v>46259.583333333336</v>
      </c>
      <c r="J502" s="6">
        <v>46259.482638888891</v>
      </c>
      <c r="K502" s="1" t="s">
        <v>66</v>
      </c>
      <c r="L502" s="1" t="s">
        <v>34</v>
      </c>
      <c r="M502" s="6"/>
      <c r="N502" s="6"/>
      <c r="O502" s="1">
        <v>1</v>
      </c>
      <c r="P502" s="1">
        <v>3</v>
      </c>
      <c r="Q502" s="5">
        <f t="shared" si="49"/>
        <v>1</v>
      </c>
      <c r="R502" s="5">
        <f t="shared" si="50"/>
        <v>1</v>
      </c>
      <c r="S502" s="5">
        <f t="shared" si="51"/>
        <v>0</v>
      </c>
      <c r="T502" s="5">
        <f t="shared" si="52"/>
        <v>0</v>
      </c>
      <c r="U502" s="5">
        <f t="shared" si="53"/>
        <v>0</v>
      </c>
      <c r="V502" s="5" t="str">
        <f t="shared" si="54"/>
        <v>无</v>
      </c>
      <c r="W502" s="5">
        <f t="shared" si="55"/>
        <v>1</v>
      </c>
    </row>
    <row r="503" spans="1:23" ht="17.25" customHeight="1">
      <c r="A503" s="1" t="s">
        <v>569</v>
      </c>
      <c r="B503" s="1" t="s">
        <v>20</v>
      </c>
      <c r="C503" s="1" t="s">
        <v>24</v>
      </c>
      <c r="D503" s="1" t="s">
        <v>27</v>
      </c>
      <c r="E503" s="6">
        <v>46258.357638888891</v>
      </c>
      <c r="F503" s="6">
        <v>46258.491666666669</v>
      </c>
      <c r="G503" s="6">
        <v>46259.625</v>
      </c>
      <c r="H503" s="6">
        <v>46259.592361111114</v>
      </c>
      <c r="I503" s="6">
        <v>46259.791666666664</v>
      </c>
      <c r="J503" s="6">
        <v>46259.65625</v>
      </c>
      <c r="K503" s="1" t="s">
        <v>66</v>
      </c>
      <c r="L503" s="1" t="s">
        <v>34</v>
      </c>
      <c r="M503" s="6"/>
      <c r="N503" s="6"/>
      <c r="O503" s="1">
        <v>0</v>
      </c>
      <c r="P503" s="1">
        <v>5</v>
      </c>
      <c r="Q503" s="5">
        <f t="shared" si="49"/>
        <v>1</v>
      </c>
      <c r="R503" s="5">
        <f t="shared" si="50"/>
        <v>1</v>
      </c>
      <c r="S503" s="5">
        <f t="shared" si="51"/>
        <v>0</v>
      </c>
      <c r="T503" s="5">
        <f t="shared" si="52"/>
        <v>0</v>
      </c>
      <c r="U503" s="5">
        <f t="shared" si="53"/>
        <v>0</v>
      </c>
      <c r="V503" s="5" t="str">
        <f t="shared" si="54"/>
        <v>无</v>
      </c>
      <c r="W503" s="5">
        <f t="shared" si="55"/>
        <v>1</v>
      </c>
    </row>
    <row r="504" spans="1:23" ht="17.25" customHeight="1">
      <c r="A504" s="1" t="s">
        <v>570</v>
      </c>
      <c r="B504" s="1" t="s">
        <v>20</v>
      </c>
      <c r="C504" s="1" t="s">
        <v>26</v>
      </c>
      <c r="D504" s="1" t="s">
        <v>28</v>
      </c>
      <c r="E504" s="6">
        <v>46258.371527777781</v>
      </c>
      <c r="F504" s="6">
        <v>46258.436111111114</v>
      </c>
      <c r="G504" s="6">
        <v>46259.416666666664</v>
      </c>
      <c r="H504" s="6">
        <v>46259.387499999997</v>
      </c>
      <c r="I504" s="6">
        <v>46259.541666666664</v>
      </c>
      <c r="J504" s="6">
        <v>46259.46597222222</v>
      </c>
      <c r="K504" s="1" t="s">
        <v>66</v>
      </c>
      <c r="L504" s="1" t="s">
        <v>34</v>
      </c>
      <c r="M504" s="6"/>
      <c r="N504" s="6"/>
      <c r="O504" s="1">
        <v>0</v>
      </c>
      <c r="P504" s="1">
        <v>5</v>
      </c>
      <c r="Q504" s="5">
        <f t="shared" si="49"/>
        <v>1</v>
      </c>
      <c r="R504" s="5">
        <f t="shared" si="50"/>
        <v>1</v>
      </c>
      <c r="S504" s="5">
        <f t="shared" si="51"/>
        <v>0</v>
      </c>
      <c r="T504" s="5">
        <f t="shared" si="52"/>
        <v>0</v>
      </c>
      <c r="U504" s="5">
        <f t="shared" si="53"/>
        <v>0</v>
      </c>
      <c r="V504" s="5" t="str">
        <f t="shared" si="54"/>
        <v>无</v>
      </c>
      <c r="W504" s="5">
        <f t="shared" si="55"/>
        <v>1</v>
      </c>
    </row>
    <row r="505" spans="1:23" ht="17.25" customHeight="1">
      <c r="A505" s="1" t="s">
        <v>571</v>
      </c>
      <c r="B505" s="1" t="s">
        <v>21</v>
      </c>
      <c r="C505" s="1" t="s">
        <v>24</v>
      </c>
      <c r="D505" s="1" t="s">
        <v>29</v>
      </c>
      <c r="E505" s="6">
        <v>46258.375</v>
      </c>
      <c r="F505" s="6">
        <v>46258.476388888892</v>
      </c>
      <c r="G505" s="6">
        <v>46259.708333333336</v>
      </c>
      <c r="H505" s="6">
        <v>46259.697916666664</v>
      </c>
      <c r="I505" s="6">
        <v>46259.875</v>
      </c>
      <c r="J505" s="6">
        <v>46259.763888888891</v>
      </c>
      <c r="K505" s="1" t="s">
        <v>66</v>
      </c>
      <c r="L505" s="1" t="s">
        <v>34</v>
      </c>
      <c r="M505" s="6"/>
      <c r="N505" s="6"/>
      <c r="O505" s="1">
        <v>0</v>
      </c>
      <c r="P505" s="1">
        <v>5</v>
      </c>
      <c r="Q505" s="5">
        <f t="shared" si="49"/>
        <v>1</v>
      </c>
      <c r="R505" s="5">
        <f t="shared" si="50"/>
        <v>1</v>
      </c>
      <c r="S505" s="5">
        <f t="shared" si="51"/>
        <v>0</v>
      </c>
      <c r="T505" s="5">
        <f t="shared" si="52"/>
        <v>0</v>
      </c>
      <c r="U505" s="5">
        <f t="shared" si="53"/>
        <v>0</v>
      </c>
      <c r="V505" s="5" t="str">
        <f t="shared" si="54"/>
        <v>无</v>
      </c>
      <c r="W505" s="5">
        <f t="shared" si="55"/>
        <v>1</v>
      </c>
    </row>
    <row r="506" spans="1:23" ht="17.25" customHeight="1">
      <c r="A506" s="1" t="s">
        <v>572</v>
      </c>
      <c r="B506" s="1" t="s">
        <v>21</v>
      </c>
      <c r="C506" s="1" t="s">
        <v>25</v>
      </c>
      <c r="D506" s="1" t="s">
        <v>30</v>
      </c>
      <c r="E506" s="6">
        <v>46258.381944444445</v>
      </c>
      <c r="F506" s="6">
        <v>46258.429166666669</v>
      </c>
      <c r="G506" s="6">
        <v>46260.416666666664</v>
      </c>
      <c r="H506" s="6">
        <v>46260.406944444447</v>
      </c>
      <c r="I506" s="6">
        <v>46260.625</v>
      </c>
      <c r="J506" s="6">
        <v>46260.504166666666</v>
      </c>
      <c r="K506" s="1" t="s">
        <v>66</v>
      </c>
      <c r="L506" s="1" t="s">
        <v>34</v>
      </c>
      <c r="M506" s="6"/>
      <c r="N506" s="6"/>
      <c r="O506" s="1">
        <v>0</v>
      </c>
      <c r="P506" s="1"/>
      <c r="Q506" s="5">
        <f t="shared" si="49"/>
        <v>1</v>
      </c>
      <c r="R506" s="5">
        <f t="shared" si="50"/>
        <v>1</v>
      </c>
      <c r="S506" s="5">
        <f t="shared" si="51"/>
        <v>0</v>
      </c>
      <c r="T506" s="5">
        <f t="shared" si="52"/>
        <v>0</v>
      </c>
      <c r="U506" s="5">
        <f t="shared" si="53"/>
        <v>0</v>
      </c>
      <c r="V506" s="5" t="str">
        <f t="shared" si="54"/>
        <v>无</v>
      </c>
      <c r="W506" s="5">
        <f t="shared" si="55"/>
        <v>1</v>
      </c>
    </row>
    <row r="507" spans="1:23" ht="17.25" customHeight="1">
      <c r="A507" s="1" t="s">
        <v>573</v>
      </c>
      <c r="B507" s="1" t="s">
        <v>20</v>
      </c>
      <c r="C507" s="1" t="s">
        <v>26</v>
      </c>
      <c r="D507" s="1" t="s">
        <v>28</v>
      </c>
      <c r="E507" s="6">
        <v>46258.434027777781</v>
      </c>
      <c r="F507" s="6">
        <v>46258.459027777775</v>
      </c>
      <c r="G507" s="6">
        <v>46261.416666666664</v>
      </c>
      <c r="H507" s="6">
        <v>46261.4375</v>
      </c>
      <c r="I507" s="6">
        <v>46261.541666666664</v>
      </c>
      <c r="J507" s="6">
        <v>46261.477777777778</v>
      </c>
      <c r="K507" s="1" t="s">
        <v>66</v>
      </c>
      <c r="L507" s="1" t="s">
        <v>36</v>
      </c>
      <c r="M507" s="6">
        <v>46261.416666666664</v>
      </c>
      <c r="N507" s="6"/>
      <c r="O507" s="1">
        <v>0</v>
      </c>
      <c r="P507" s="1">
        <v>4</v>
      </c>
      <c r="Q507" s="5">
        <f t="shared" si="49"/>
        <v>0</v>
      </c>
      <c r="R507" s="5">
        <f t="shared" si="50"/>
        <v>1</v>
      </c>
      <c r="S507" s="5">
        <f t="shared" si="51"/>
        <v>1</v>
      </c>
      <c r="T507" s="5">
        <f t="shared" si="52"/>
        <v>0</v>
      </c>
      <c r="U507" s="5">
        <f t="shared" si="53"/>
        <v>1</v>
      </c>
      <c r="V507" s="5" t="str">
        <f t="shared" si="54"/>
        <v>上门超时</v>
      </c>
      <c r="W507" s="5">
        <f t="shared" si="55"/>
        <v>1</v>
      </c>
    </row>
    <row r="508" spans="1:23" ht="17.25" customHeight="1">
      <c r="A508" s="1" t="s">
        <v>574</v>
      </c>
      <c r="B508" s="1" t="s">
        <v>22</v>
      </c>
      <c r="C508" s="1" t="s">
        <v>25</v>
      </c>
      <c r="D508" s="1" t="s">
        <v>32</v>
      </c>
      <c r="E508" s="6">
        <v>46258.475694444445</v>
      </c>
      <c r="F508" s="6"/>
      <c r="G508" s="6">
        <v>46259.5</v>
      </c>
      <c r="H508" s="6"/>
      <c r="I508" s="6">
        <v>46259.708333333336</v>
      </c>
      <c r="J508" s="6"/>
      <c r="K508" s="1" t="s">
        <v>73</v>
      </c>
      <c r="L508" s="1" t="s">
        <v>35</v>
      </c>
      <c r="M508" s="6">
        <v>46259.5</v>
      </c>
      <c r="N508" s="6"/>
      <c r="O508" s="1">
        <v>0</v>
      </c>
      <c r="P508" s="1"/>
      <c r="Q508" s="5">
        <f t="shared" si="49"/>
        <v>0</v>
      </c>
      <c r="R508" s="5">
        <f t="shared" si="50"/>
        <v>0</v>
      </c>
      <c r="S508" s="5">
        <f t="shared" si="51"/>
        <v>1</v>
      </c>
      <c r="T508" s="5">
        <f t="shared" si="52"/>
        <v>0</v>
      </c>
      <c r="U508" s="5">
        <f t="shared" si="53"/>
        <v>1</v>
      </c>
      <c r="V508" s="5" t="str">
        <f t="shared" si="54"/>
        <v>派单超时</v>
      </c>
      <c r="W508" s="5">
        <f t="shared" si="55"/>
        <v>1</v>
      </c>
    </row>
    <row r="509" spans="1:23" ht="17.25" customHeight="1">
      <c r="A509" s="1" t="s">
        <v>575</v>
      </c>
      <c r="B509" s="1" t="s">
        <v>22</v>
      </c>
      <c r="C509" s="1" t="s">
        <v>24</v>
      </c>
      <c r="D509" s="1" t="s">
        <v>32</v>
      </c>
      <c r="E509" s="6">
        <v>46258.482638888891</v>
      </c>
      <c r="F509" s="6">
        <v>46258.541666666664</v>
      </c>
      <c r="G509" s="6">
        <v>46260.5</v>
      </c>
      <c r="H509" s="6">
        <v>46260.462500000001</v>
      </c>
      <c r="I509" s="6">
        <v>46260.666666666664</v>
      </c>
      <c r="J509" s="6">
        <v>46260.509722222225</v>
      </c>
      <c r="K509" s="1" t="s">
        <v>66</v>
      </c>
      <c r="L509" s="1" t="s">
        <v>34</v>
      </c>
      <c r="M509" s="6"/>
      <c r="N509" s="6"/>
      <c r="O509" s="1">
        <v>0</v>
      </c>
      <c r="P509" s="1">
        <v>5</v>
      </c>
      <c r="Q509" s="5">
        <f t="shared" si="49"/>
        <v>1</v>
      </c>
      <c r="R509" s="5">
        <f t="shared" si="50"/>
        <v>1</v>
      </c>
      <c r="S509" s="5">
        <f t="shared" si="51"/>
        <v>0</v>
      </c>
      <c r="T509" s="5">
        <f t="shared" si="52"/>
        <v>0</v>
      </c>
      <c r="U509" s="5">
        <f t="shared" si="53"/>
        <v>0</v>
      </c>
      <c r="V509" s="5" t="str">
        <f t="shared" si="54"/>
        <v>无</v>
      </c>
      <c r="W509" s="5">
        <f t="shared" si="55"/>
        <v>1</v>
      </c>
    </row>
    <row r="510" spans="1:23" ht="17.25" customHeight="1">
      <c r="A510" s="1" t="s">
        <v>576</v>
      </c>
      <c r="B510" s="1" t="s">
        <v>21</v>
      </c>
      <c r="C510" s="1" t="s">
        <v>24</v>
      </c>
      <c r="D510" s="1" t="s">
        <v>30</v>
      </c>
      <c r="E510" s="6">
        <v>46258.53125</v>
      </c>
      <c r="F510" s="6">
        <v>46258.620138888888</v>
      </c>
      <c r="G510" s="6">
        <v>46259.416666666664</v>
      </c>
      <c r="H510" s="6">
        <v>46259.364583333336</v>
      </c>
      <c r="I510" s="6">
        <v>46259.583333333336</v>
      </c>
      <c r="J510" s="6">
        <v>46259.439583333333</v>
      </c>
      <c r="K510" s="1" t="s">
        <v>66</v>
      </c>
      <c r="L510" s="1" t="s">
        <v>34</v>
      </c>
      <c r="M510" s="6"/>
      <c r="N510" s="6"/>
      <c r="O510" s="1">
        <v>0</v>
      </c>
      <c r="P510" s="1"/>
      <c r="Q510" s="5">
        <f t="shared" si="49"/>
        <v>1</v>
      </c>
      <c r="R510" s="5">
        <f t="shared" si="50"/>
        <v>1</v>
      </c>
      <c r="S510" s="5">
        <f t="shared" si="51"/>
        <v>0</v>
      </c>
      <c r="T510" s="5">
        <f t="shared" si="52"/>
        <v>0</v>
      </c>
      <c r="U510" s="5">
        <f t="shared" si="53"/>
        <v>0</v>
      </c>
      <c r="V510" s="5" t="str">
        <f t="shared" si="54"/>
        <v>无</v>
      </c>
      <c r="W510" s="5">
        <f t="shared" si="55"/>
        <v>1</v>
      </c>
    </row>
    <row r="511" spans="1:23" ht="17.25" customHeight="1">
      <c r="A511" s="1" t="s">
        <v>577</v>
      </c>
      <c r="B511" s="1" t="s">
        <v>20</v>
      </c>
      <c r="C511" s="1" t="s">
        <v>25</v>
      </c>
      <c r="D511" s="1" t="s">
        <v>27</v>
      </c>
      <c r="E511" s="6">
        <v>46258.545138888891</v>
      </c>
      <c r="F511" s="6">
        <v>46258.606944444444</v>
      </c>
      <c r="G511" s="6">
        <v>46259.708333333336</v>
      </c>
      <c r="H511" s="6">
        <v>46259.693749999999</v>
      </c>
      <c r="I511" s="6">
        <v>46259.916666666664</v>
      </c>
      <c r="J511" s="6">
        <v>46259.753472222219</v>
      </c>
      <c r="K511" s="1" t="s">
        <v>66</v>
      </c>
      <c r="L511" s="1" t="s">
        <v>34</v>
      </c>
      <c r="M511" s="6"/>
      <c r="N511" s="6"/>
      <c r="O511" s="1">
        <v>0</v>
      </c>
      <c r="P511" s="1">
        <v>4</v>
      </c>
      <c r="Q511" s="5">
        <f t="shared" si="49"/>
        <v>1</v>
      </c>
      <c r="R511" s="5">
        <f t="shared" si="50"/>
        <v>1</v>
      </c>
      <c r="S511" s="5">
        <f t="shared" si="51"/>
        <v>0</v>
      </c>
      <c r="T511" s="5">
        <f t="shared" si="52"/>
        <v>0</v>
      </c>
      <c r="U511" s="5">
        <f t="shared" si="53"/>
        <v>0</v>
      </c>
      <c r="V511" s="5" t="str">
        <f t="shared" si="54"/>
        <v>无</v>
      </c>
      <c r="W511" s="5">
        <f t="shared" si="55"/>
        <v>1</v>
      </c>
    </row>
    <row r="512" spans="1:23" ht="17.25" customHeight="1">
      <c r="A512" s="1" t="s">
        <v>578</v>
      </c>
      <c r="B512" s="1" t="s">
        <v>20</v>
      </c>
      <c r="C512" s="1" t="s">
        <v>24</v>
      </c>
      <c r="D512" s="1" t="s">
        <v>28</v>
      </c>
      <c r="E512" s="6">
        <v>46258.5625</v>
      </c>
      <c r="F512" s="6">
        <v>46258.724999999999</v>
      </c>
      <c r="G512" s="6">
        <v>46259.5</v>
      </c>
      <c r="H512" s="6">
        <v>46259.574999999997</v>
      </c>
      <c r="I512" s="6">
        <v>46259.666666666664</v>
      </c>
      <c r="J512" s="6">
        <v>46259.625</v>
      </c>
      <c r="K512" s="1" t="s">
        <v>66</v>
      </c>
      <c r="L512" s="1" t="s">
        <v>36</v>
      </c>
      <c r="M512" s="6">
        <v>46259.5</v>
      </c>
      <c r="N512" s="6"/>
      <c r="O512" s="1">
        <v>0</v>
      </c>
      <c r="P512" s="1"/>
      <c r="Q512" s="5">
        <f t="shared" si="49"/>
        <v>0</v>
      </c>
      <c r="R512" s="5">
        <f t="shared" si="50"/>
        <v>1</v>
      </c>
      <c r="S512" s="5">
        <f t="shared" si="51"/>
        <v>1</v>
      </c>
      <c r="T512" s="5">
        <f t="shared" si="52"/>
        <v>0</v>
      </c>
      <c r="U512" s="5">
        <f t="shared" si="53"/>
        <v>1</v>
      </c>
      <c r="V512" s="5" t="str">
        <f t="shared" si="54"/>
        <v>上门超时</v>
      </c>
      <c r="W512" s="5">
        <f t="shared" si="55"/>
        <v>1</v>
      </c>
    </row>
    <row r="513" spans="1:23" ht="17.25" customHeight="1">
      <c r="A513" s="1" t="s">
        <v>579</v>
      </c>
      <c r="B513" s="1" t="s">
        <v>22</v>
      </c>
      <c r="C513" s="1" t="s">
        <v>24</v>
      </c>
      <c r="D513" s="1" t="s">
        <v>31</v>
      </c>
      <c r="E513" s="6">
        <v>46258.586805555555</v>
      </c>
      <c r="F513" s="6">
        <v>46258.706250000003</v>
      </c>
      <c r="G513" s="6">
        <v>46259.5</v>
      </c>
      <c r="H513" s="6">
        <v>46259.484722222223</v>
      </c>
      <c r="I513" s="6">
        <v>46259.666666666664</v>
      </c>
      <c r="J513" s="6">
        <v>46259.559027777781</v>
      </c>
      <c r="K513" s="1" t="s">
        <v>66</v>
      </c>
      <c r="L513" s="1" t="s">
        <v>34</v>
      </c>
      <c r="M513" s="6"/>
      <c r="N513" s="6"/>
      <c r="O513" s="1">
        <v>0</v>
      </c>
      <c r="P513" s="1"/>
      <c r="Q513" s="5">
        <f t="shared" si="49"/>
        <v>1</v>
      </c>
      <c r="R513" s="5">
        <f t="shared" si="50"/>
        <v>1</v>
      </c>
      <c r="S513" s="5">
        <f t="shared" si="51"/>
        <v>0</v>
      </c>
      <c r="T513" s="5">
        <f t="shared" si="52"/>
        <v>0</v>
      </c>
      <c r="U513" s="5">
        <f t="shared" si="53"/>
        <v>0</v>
      </c>
      <c r="V513" s="5" t="str">
        <f t="shared" si="54"/>
        <v>无</v>
      </c>
      <c r="W513" s="5">
        <f t="shared" si="55"/>
        <v>1</v>
      </c>
    </row>
    <row r="514" spans="1:23" ht="17.25" customHeight="1">
      <c r="A514" s="1" t="s">
        <v>580</v>
      </c>
      <c r="B514" s="1" t="s">
        <v>21</v>
      </c>
      <c r="C514" s="1" t="s">
        <v>24</v>
      </c>
      <c r="D514" s="1" t="s">
        <v>29</v>
      </c>
      <c r="E514" s="6">
        <v>46258.590277777781</v>
      </c>
      <c r="F514" s="6">
        <v>46258.636805555558</v>
      </c>
      <c r="G514" s="6">
        <v>46259.5</v>
      </c>
      <c r="H514" s="6">
        <v>46259.452777777777</v>
      </c>
      <c r="I514" s="6">
        <v>46259.666666666664</v>
      </c>
      <c r="J514" s="6">
        <v>46259.515277777777</v>
      </c>
      <c r="K514" s="1" t="s">
        <v>66</v>
      </c>
      <c r="L514" s="1" t="s">
        <v>34</v>
      </c>
      <c r="M514" s="6"/>
      <c r="N514" s="6"/>
      <c r="O514" s="1">
        <v>0</v>
      </c>
      <c r="P514" s="1">
        <v>5</v>
      </c>
      <c r="Q514" s="5">
        <f t="shared" ref="Q514:Q577" si="56">IF(AND(ISNUMBER(H514),H514&lt;=G514),1,0)</f>
        <v>1</v>
      </c>
      <c r="R514" s="5">
        <f t="shared" ref="R514:R577" si="57">IF(AND(ISNUMBER(J514),J514&lt;=I514),1,0)</f>
        <v>1</v>
      </c>
      <c r="S514" s="5">
        <f t="shared" ref="S514:S577" si="58">IF(V514="无",0,1)</f>
        <v>0</v>
      </c>
      <c r="T514" s="5">
        <f t="shared" ref="T514:T577" si="59">IF(AND(S514=1,ISNUMBER(N514)),1,0)</f>
        <v>0</v>
      </c>
      <c r="U514" s="5">
        <f t="shared" ref="U514:U577" si="60">IF(AND(S514=1,T514=0),1,0)</f>
        <v>0</v>
      </c>
      <c r="V514" s="5" t="str">
        <f t="shared" ref="V514:V577" si="61">IF(AND(ISNUMBER(F514),F514&lt;=G514),IF(AND(ISNUMBER(H514),H514&lt;=G514),IF(AND(ISNUMBER(J514),J514&lt;=I514),"无","完工超时"),"上门超时"),"派单超时")</f>
        <v>无</v>
      </c>
      <c r="W514" s="5">
        <f t="shared" ref="W514:W577" si="62">IF(L514=V514,1,0)</f>
        <v>1</v>
      </c>
    </row>
    <row r="515" spans="1:23" ht="17.25" customHeight="1">
      <c r="A515" s="1" t="s">
        <v>581</v>
      </c>
      <c r="B515" s="1" t="s">
        <v>21</v>
      </c>
      <c r="C515" s="1" t="s">
        <v>24</v>
      </c>
      <c r="D515" s="1" t="s">
        <v>29</v>
      </c>
      <c r="E515" s="6">
        <v>46258.618055555555</v>
      </c>
      <c r="F515" s="6">
        <v>46258.638888888891</v>
      </c>
      <c r="G515" s="6">
        <v>46260.708333333336</v>
      </c>
      <c r="H515" s="6">
        <v>46260.669444444444</v>
      </c>
      <c r="I515" s="6">
        <v>46260.875</v>
      </c>
      <c r="J515" s="6">
        <v>46260.75277777778</v>
      </c>
      <c r="K515" s="1" t="s">
        <v>66</v>
      </c>
      <c r="L515" s="1" t="s">
        <v>34</v>
      </c>
      <c r="M515" s="6"/>
      <c r="N515" s="6"/>
      <c r="O515" s="1">
        <v>0</v>
      </c>
      <c r="P515" s="1"/>
      <c r="Q515" s="5">
        <f t="shared" si="56"/>
        <v>1</v>
      </c>
      <c r="R515" s="5">
        <f t="shared" si="57"/>
        <v>1</v>
      </c>
      <c r="S515" s="5">
        <f t="shared" si="58"/>
        <v>0</v>
      </c>
      <c r="T515" s="5">
        <f t="shared" si="59"/>
        <v>0</v>
      </c>
      <c r="U515" s="5">
        <f t="shared" si="60"/>
        <v>0</v>
      </c>
      <c r="V515" s="5" t="str">
        <f t="shared" si="61"/>
        <v>无</v>
      </c>
      <c r="W515" s="5">
        <f t="shared" si="62"/>
        <v>1</v>
      </c>
    </row>
    <row r="516" spans="1:23" ht="17.25" customHeight="1">
      <c r="A516" s="1" t="s">
        <v>582</v>
      </c>
      <c r="B516" s="1" t="s">
        <v>20</v>
      </c>
      <c r="C516" s="1" t="s">
        <v>25</v>
      </c>
      <c r="D516" s="1" t="s">
        <v>28</v>
      </c>
      <c r="E516" s="6">
        <v>46258.625</v>
      </c>
      <c r="F516" s="6">
        <v>46258.704861111109</v>
      </c>
      <c r="G516" s="6">
        <v>46259.625</v>
      </c>
      <c r="H516" s="6">
        <v>46259.582638888889</v>
      </c>
      <c r="I516" s="6">
        <v>46259.833333333336</v>
      </c>
      <c r="J516" s="6">
        <v>46259.684027777781</v>
      </c>
      <c r="K516" s="1" t="s">
        <v>66</v>
      </c>
      <c r="L516" s="1" t="s">
        <v>34</v>
      </c>
      <c r="M516" s="6"/>
      <c r="N516" s="6"/>
      <c r="O516" s="1">
        <v>0</v>
      </c>
      <c r="P516" s="1"/>
      <c r="Q516" s="5">
        <f t="shared" si="56"/>
        <v>1</v>
      </c>
      <c r="R516" s="5">
        <f t="shared" si="57"/>
        <v>1</v>
      </c>
      <c r="S516" s="5">
        <f t="shared" si="58"/>
        <v>0</v>
      </c>
      <c r="T516" s="5">
        <f t="shared" si="59"/>
        <v>0</v>
      </c>
      <c r="U516" s="5">
        <f t="shared" si="60"/>
        <v>0</v>
      </c>
      <c r="V516" s="5" t="str">
        <f t="shared" si="61"/>
        <v>无</v>
      </c>
      <c r="W516" s="5">
        <f t="shared" si="62"/>
        <v>1</v>
      </c>
    </row>
    <row r="517" spans="1:23" ht="17.25" customHeight="1">
      <c r="A517" s="1" t="s">
        <v>583</v>
      </c>
      <c r="B517" s="1" t="s">
        <v>21</v>
      </c>
      <c r="C517" s="1" t="s">
        <v>26</v>
      </c>
      <c r="D517" s="1" t="s">
        <v>30</v>
      </c>
      <c r="E517" s="6">
        <v>46258.666666666664</v>
      </c>
      <c r="F517" s="6">
        <v>46258.688194444447</v>
      </c>
      <c r="G517" s="6">
        <v>46261.5</v>
      </c>
      <c r="H517" s="6">
        <v>46261.481944444444</v>
      </c>
      <c r="I517" s="6">
        <v>46261.625</v>
      </c>
      <c r="J517" s="6"/>
      <c r="K517" s="1" t="s">
        <v>73</v>
      </c>
      <c r="L517" s="1" t="s">
        <v>37</v>
      </c>
      <c r="M517" s="6">
        <v>46261.625</v>
      </c>
      <c r="N517" s="6"/>
      <c r="O517" s="1">
        <v>0</v>
      </c>
      <c r="P517" s="1"/>
      <c r="Q517" s="5">
        <f t="shared" si="56"/>
        <v>1</v>
      </c>
      <c r="R517" s="5">
        <f t="shared" si="57"/>
        <v>0</v>
      </c>
      <c r="S517" s="5">
        <f t="shared" si="58"/>
        <v>1</v>
      </c>
      <c r="T517" s="5">
        <f t="shared" si="59"/>
        <v>0</v>
      </c>
      <c r="U517" s="5">
        <f t="shared" si="60"/>
        <v>1</v>
      </c>
      <c r="V517" s="5" t="str">
        <f t="shared" si="61"/>
        <v>完工超时</v>
      </c>
      <c r="W517" s="5">
        <f t="shared" si="62"/>
        <v>1</v>
      </c>
    </row>
    <row r="518" spans="1:23" ht="17.25" customHeight="1">
      <c r="A518" s="1" t="s">
        <v>584</v>
      </c>
      <c r="B518" s="1" t="s">
        <v>20</v>
      </c>
      <c r="C518" s="1" t="s">
        <v>24</v>
      </c>
      <c r="D518" s="1" t="s">
        <v>28</v>
      </c>
      <c r="E518" s="6">
        <v>46258.673611111109</v>
      </c>
      <c r="F518" s="6">
        <v>46258.720833333333</v>
      </c>
      <c r="G518" s="6">
        <v>46259.625</v>
      </c>
      <c r="H518" s="6">
        <v>46259.586805555555</v>
      </c>
      <c r="I518" s="6">
        <v>46259.791666666664</v>
      </c>
      <c r="J518" s="6">
        <v>46259.664583333331</v>
      </c>
      <c r="K518" s="1" t="s">
        <v>66</v>
      </c>
      <c r="L518" s="1" t="s">
        <v>34</v>
      </c>
      <c r="M518" s="6"/>
      <c r="N518" s="6"/>
      <c r="O518" s="1">
        <v>0</v>
      </c>
      <c r="P518" s="1">
        <v>4</v>
      </c>
      <c r="Q518" s="5">
        <f t="shared" si="56"/>
        <v>1</v>
      </c>
      <c r="R518" s="5">
        <f t="shared" si="57"/>
        <v>1</v>
      </c>
      <c r="S518" s="5">
        <f t="shared" si="58"/>
        <v>0</v>
      </c>
      <c r="T518" s="5">
        <f t="shared" si="59"/>
        <v>0</v>
      </c>
      <c r="U518" s="5">
        <f t="shared" si="60"/>
        <v>0</v>
      </c>
      <c r="V518" s="5" t="str">
        <f t="shared" si="61"/>
        <v>无</v>
      </c>
      <c r="W518" s="5">
        <f t="shared" si="62"/>
        <v>1</v>
      </c>
    </row>
    <row r="519" spans="1:23" ht="17.25" customHeight="1">
      <c r="A519" s="1" t="s">
        <v>585</v>
      </c>
      <c r="B519" s="1" t="s">
        <v>20</v>
      </c>
      <c r="C519" s="1" t="s">
        <v>25</v>
      </c>
      <c r="D519" s="1" t="s">
        <v>27</v>
      </c>
      <c r="E519" s="6">
        <v>46258.725694444445</v>
      </c>
      <c r="F519" s="6">
        <v>46258.756249999999</v>
      </c>
      <c r="G519" s="6">
        <v>46261.625</v>
      </c>
      <c r="H519" s="6">
        <v>46261.591666666667</v>
      </c>
      <c r="I519" s="6">
        <v>46261.833333333336</v>
      </c>
      <c r="J519" s="6">
        <v>46261.674305555556</v>
      </c>
      <c r="K519" s="1" t="s">
        <v>66</v>
      </c>
      <c r="L519" s="1" t="s">
        <v>34</v>
      </c>
      <c r="M519" s="6"/>
      <c r="N519" s="6"/>
      <c r="O519" s="1">
        <v>0</v>
      </c>
      <c r="P519" s="1">
        <v>5</v>
      </c>
      <c r="Q519" s="5">
        <f t="shared" si="56"/>
        <v>1</v>
      </c>
      <c r="R519" s="5">
        <f t="shared" si="57"/>
        <v>1</v>
      </c>
      <c r="S519" s="5">
        <f t="shared" si="58"/>
        <v>0</v>
      </c>
      <c r="T519" s="5">
        <f t="shared" si="59"/>
        <v>0</v>
      </c>
      <c r="U519" s="5">
        <f t="shared" si="60"/>
        <v>0</v>
      </c>
      <c r="V519" s="5" t="str">
        <f t="shared" si="61"/>
        <v>无</v>
      </c>
      <c r="W519" s="5">
        <f t="shared" si="62"/>
        <v>1</v>
      </c>
    </row>
    <row r="520" spans="1:23" ht="17.25" customHeight="1">
      <c r="A520" s="1" t="s">
        <v>586</v>
      </c>
      <c r="B520" s="1" t="s">
        <v>20</v>
      </c>
      <c r="C520" s="1" t="s">
        <v>24</v>
      </c>
      <c r="D520" s="1" t="s">
        <v>28</v>
      </c>
      <c r="E520" s="6">
        <v>46259.420138888891</v>
      </c>
      <c r="F520" s="6">
        <v>46259.558333333334</v>
      </c>
      <c r="G520" s="6">
        <v>46260.5</v>
      </c>
      <c r="H520" s="6">
        <v>46260.484027777777</v>
      </c>
      <c r="I520" s="6">
        <v>46260.666666666664</v>
      </c>
      <c r="J520" s="6">
        <v>46260.560416666667</v>
      </c>
      <c r="K520" s="1" t="s">
        <v>66</v>
      </c>
      <c r="L520" s="1" t="s">
        <v>34</v>
      </c>
      <c r="M520" s="6"/>
      <c r="N520" s="6"/>
      <c r="O520" s="1">
        <v>0</v>
      </c>
      <c r="P520" s="1">
        <v>5</v>
      </c>
      <c r="Q520" s="5">
        <f t="shared" si="56"/>
        <v>1</v>
      </c>
      <c r="R520" s="5">
        <f t="shared" si="57"/>
        <v>1</v>
      </c>
      <c r="S520" s="5">
        <f t="shared" si="58"/>
        <v>0</v>
      </c>
      <c r="T520" s="5">
        <f t="shared" si="59"/>
        <v>0</v>
      </c>
      <c r="U520" s="5">
        <f t="shared" si="60"/>
        <v>0</v>
      </c>
      <c r="V520" s="5" t="str">
        <f t="shared" si="61"/>
        <v>无</v>
      </c>
      <c r="W520" s="5">
        <f t="shared" si="62"/>
        <v>1</v>
      </c>
    </row>
    <row r="521" spans="1:23" ht="17.25" customHeight="1">
      <c r="A521" s="1" t="s">
        <v>587</v>
      </c>
      <c r="B521" s="1" t="s">
        <v>21</v>
      </c>
      <c r="C521" s="1" t="s">
        <v>25</v>
      </c>
      <c r="D521" s="1" t="s">
        <v>30</v>
      </c>
      <c r="E521" s="6">
        <v>46259.420138888891</v>
      </c>
      <c r="F521" s="6">
        <v>46260.759722222225</v>
      </c>
      <c r="G521" s="6">
        <v>46260.708333333336</v>
      </c>
      <c r="H521" s="6">
        <v>46260.788888888892</v>
      </c>
      <c r="I521" s="6">
        <v>46260.916666666664</v>
      </c>
      <c r="J521" s="6">
        <v>46260.873611111114</v>
      </c>
      <c r="K521" s="1" t="s">
        <v>66</v>
      </c>
      <c r="L521" s="1" t="s">
        <v>35</v>
      </c>
      <c r="M521" s="6">
        <v>46260.708333333336</v>
      </c>
      <c r="N521" s="6">
        <v>46260.996527777781</v>
      </c>
      <c r="O521" s="1">
        <v>0</v>
      </c>
      <c r="P521" s="1">
        <v>3</v>
      </c>
      <c r="Q521" s="5">
        <f t="shared" si="56"/>
        <v>0</v>
      </c>
      <c r="R521" s="5">
        <f t="shared" si="57"/>
        <v>1</v>
      </c>
      <c r="S521" s="5">
        <f t="shared" si="58"/>
        <v>1</v>
      </c>
      <c r="T521" s="5">
        <f t="shared" si="59"/>
        <v>1</v>
      </c>
      <c r="U521" s="5">
        <f t="shared" si="60"/>
        <v>0</v>
      </c>
      <c r="V521" s="5" t="str">
        <f t="shared" si="61"/>
        <v>派单超时</v>
      </c>
      <c r="W521" s="5">
        <f t="shared" si="62"/>
        <v>1</v>
      </c>
    </row>
    <row r="522" spans="1:23" ht="17.25" customHeight="1">
      <c r="A522" s="1" t="s">
        <v>588</v>
      </c>
      <c r="B522" s="1" t="s">
        <v>21</v>
      </c>
      <c r="C522" s="1" t="s">
        <v>24</v>
      </c>
      <c r="D522" s="1" t="s">
        <v>30</v>
      </c>
      <c r="E522" s="6">
        <v>46259.447916666664</v>
      </c>
      <c r="F522" s="6">
        <v>46259.487500000003</v>
      </c>
      <c r="G522" s="6">
        <v>46260.625</v>
      </c>
      <c r="H522" s="6">
        <v>46260.586805555555</v>
      </c>
      <c r="I522" s="6">
        <v>46260.791666666664</v>
      </c>
      <c r="J522" s="6">
        <v>46260.630555555559</v>
      </c>
      <c r="K522" s="1" t="s">
        <v>66</v>
      </c>
      <c r="L522" s="1" t="s">
        <v>34</v>
      </c>
      <c r="M522" s="6"/>
      <c r="N522" s="6"/>
      <c r="O522" s="1">
        <v>0</v>
      </c>
      <c r="P522" s="1"/>
      <c r="Q522" s="5">
        <f t="shared" si="56"/>
        <v>1</v>
      </c>
      <c r="R522" s="5">
        <f t="shared" si="57"/>
        <v>1</v>
      </c>
      <c r="S522" s="5">
        <f t="shared" si="58"/>
        <v>0</v>
      </c>
      <c r="T522" s="5">
        <f t="shared" si="59"/>
        <v>0</v>
      </c>
      <c r="U522" s="5">
        <f t="shared" si="60"/>
        <v>0</v>
      </c>
      <c r="V522" s="5" t="str">
        <f t="shared" si="61"/>
        <v>无</v>
      </c>
      <c r="W522" s="5">
        <f t="shared" si="62"/>
        <v>1</v>
      </c>
    </row>
    <row r="523" spans="1:23" ht="17.25" customHeight="1">
      <c r="A523" s="1" t="s">
        <v>589</v>
      </c>
      <c r="B523" s="1" t="s">
        <v>21</v>
      </c>
      <c r="C523" s="1" t="s">
        <v>25</v>
      </c>
      <c r="D523" s="1" t="s">
        <v>29</v>
      </c>
      <c r="E523" s="6">
        <v>46259.46875</v>
      </c>
      <c r="F523" s="6">
        <v>46259.547222222223</v>
      </c>
      <c r="G523" s="6">
        <v>46260.625</v>
      </c>
      <c r="H523" s="6">
        <v>46260.688194444447</v>
      </c>
      <c r="I523" s="6">
        <v>46260.833333333336</v>
      </c>
      <c r="J523" s="6">
        <v>46260.782638888886</v>
      </c>
      <c r="K523" s="1" t="s">
        <v>66</v>
      </c>
      <c r="L523" s="1" t="s">
        <v>36</v>
      </c>
      <c r="M523" s="6">
        <v>46260.625</v>
      </c>
      <c r="N523" s="6">
        <v>46260.82708333333</v>
      </c>
      <c r="O523" s="1">
        <v>0</v>
      </c>
      <c r="P523" s="1">
        <v>4</v>
      </c>
      <c r="Q523" s="5">
        <f t="shared" si="56"/>
        <v>0</v>
      </c>
      <c r="R523" s="5">
        <f t="shared" si="57"/>
        <v>1</v>
      </c>
      <c r="S523" s="5">
        <f t="shared" si="58"/>
        <v>1</v>
      </c>
      <c r="T523" s="5">
        <f t="shared" si="59"/>
        <v>1</v>
      </c>
      <c r="U523" s="5">
        <f t="shared" si="60"/>
        <v>0</v>
      </c>
      <c r="V523" s="5" t="str">
        <f t="shared" si="61"/>
        <v>上门超时</v>
      </c>
      <c r="W523" s="5">
        <f t="shared" si="62"/>
        <v>1</v>
      </c>
    </row>
    <row r="524" spans="1:23" ht="17.25" customHeight="1">
      <c r="A524" s="1" t="s">
        <v>590</v>
      </c>
      <c r="B524" s="1" t="s">
        <v>21</v>
      </c>
      <c r="C524" s="1" t="s">
        <v>25</v>
      </c>
      <c r="D524" s="1" t="s">
        <v>30</v>
      </c>
      <c r="E524" s="6">
        <v>46259.475694444445</v>
      </c>
      <c r="F524" s="6"/>
      <c r="G524" s="6">
        <v>46260.708333333336</v>
      </c>
      <c r="H524" s="6"/>
      <c r="I524" s="6">
        <v>46260.916666666664</v>
      </c>
      <c r="J524" s="6"/>
      <c r="K524" s="1" t="s">
        <v>73</v>
      </c>
      <c r="L524" s="1" t="s">
        <v>35</v>
      </c>
      <c r="M524" s="6">
        <v>46260.708333333336</v>
      </c>
      <c r="N524" s="6"/>
      <c r="O524" s="1">
        <v>0</v>
      </c>
      <c r="P524" s="1"/>
      <c r="Q524" s="5">
        <f t="shared" si="56"/>
        <v>0</v>
      </c>
      <c r="R524" s="5">
        <f t="shared" si="57"/>
        <v>0</v>
      </c>
      <c r="S524" s="5">
        <f t="shared" si="58"/>
        <v>1</v>
      </c>
      <c r="T524" s="5">
        <f t="shared" si="59"/>
        <v>0</v>
      </c>
      <c r="U524" s="5">
        <f t="shared" si="60"/>
        <v>1</v>
      </c>
      <c r="V524" s="5" t="str">
        <f t="shared" si="61"/>
        <v>派单超时</v>
      </c>
      <c r="W524" s="5">
        <f t="shared" si="62"/>
        <v>1</v>
      </c>
    </row>
    <row r="525" spans="1:23" ht="17.25" customHeight="1">
      <c r="A525" s="1" t="s">
        <v>591</v>
      </c>
      <c r="B525" s="1" t="s">
        <v>21</v>
      </c>
      <c r="C525" s="1" t="s">
        <v>24</v>
      </c>
      <c r="D525" s="1" t="s">
        <v>30</v>
      </c>
      <c r="E525" s="6">
        <v>46259.475694444445</v>
      </c>
      <c r="F525" s="6">
        <v>46259.52847222222</v>
      </c>
      <c r="G525" s="6">
        <v>46260.416666666664</v>
      </c>
      <c r="H525" s="6">
        <v>46260.484027777777</v>
      </c>
      <c r="I525" s="6">
        <v>46260.583333333336</v>
      </c>
      <c r="J525" s="6">
        <v>46260.543749999997</v>
      </c>
      <c r="K525" s="1" t="s">
        <v>66</v>
      </c>
      <c r="L525" s="1" t="s">
        <v>36</v>
      </c>
      <c r="M525" s="6">
        <v>46260.416666666664</v>
      </c>
      <c r="N525" s="6">
        <v>46260.782638888886</v>
      </c>
      <c r="O525" s="1">
        <v>0</v>
      </c>
      <c r="P525" s="1"/>
      <c r="Q525" s="5">
        <f t="shared" si="56"/>
        <v>0</v>
      </c>
      <c r="R525" s="5">
        <f t="shared" si="57"/>
        <v>1</v>
      </c>
      <c r="S525" s="5">
        <f t="shared" si="58"/>
        <v>1</v>
      </c>
      <c r="T525" s="5">
        <f t="shared" si="59"/>
        <v>1</v>
      </c>
      <c r="U525" s="5">
        <f t="shared" si="60"/>
        <v>0</v>
      </c>
      <c r="V525" s="5" t="str">
        <f t="shared" si="61"/>
        <v>上门超时</v>
      </c>
      <c r="W525" s="5">
        <f t="shared" si="62"/>
        <v>1</v>
      </c>
    </row>
    <row r="526" spans="1:23" ht="17.25" customHeight="1">
      <c r="A526" s="1" t="s">
        <v>592</v>
      </c>
      <c r="B526" s="1" t="s">
        <v>20</v>
      </c>
      <c r="C526" s="1" t="s">
        <v>24</v>
      </c>
      <c r="D526" s="1" t="s">
        <v>27</v>
      </c>
      <c r="E526" s="6">
        <v>46259.482638888891</v>
      </c>
      <c r="F526" s="6">
        <v>46259.638888888891</v>
      </c>
      <c r="G526" s="6">
        <v>46261.416666666664</v>
      </c>
      <c r="H526" s="6">
        <v>46261.37777777778</v>
      </c>
      <c r="I526" s="6">
        <v>46261.583333333336</v>
      </c>
      <c r="J526" s="6">
        <v>46261.481944444444</v>
      </c>
      <c r="K526" s="1" t="s">
        <v>66</v>
      </c>
      <c r="L526" s="1" t="s">
        <v>34</v>
      </c>
      <c r="M526" s="6"/>
      <c r="N526" s="6"/>
      <c r="O526" s="1">
        <v>0</v>
      </c>
      <c r="P526" s="1"/>
      <c r="Q526" s="5">
        <f t="shared" si="56"/>
        <v>1</v>
      </c>
      <c r="R526" s="5">
        <f t="shared" si="57"/>
        <v>1</v>
      </c>
      <c r="S526" s="5">
        <f t="shared" si="58"/>
        <v>0</v>
      </c>
      <c r="T526" s="5">
        <f t="shared" si="59"/>
        <v>0</v>
      </c>
      <c r="U526" s="5">
        <f t="shared" si="60"/>
        <v>0</v>
      </c>
      <c r="V526" s="5" t="str">
        <f t="shared" si="61"/>
        <v>无</v>
      </c>
      <c r="W526" s="5">
        <f t="shared" si="62"/>
        <v>1</v>
      </c>
    </row>
    <row r="527" spans="1:23" ht="17.25" customHeight="1">
      <c r="A527" s="1" t="s">
        <v>593</v>
      </c>
      <c r="B527" s="1" t="s">
        <v>22</v>
      </c>
      <c r="C527" s="1" t="s">
        <v>26</v>
      </c>
      <c r="D527" s="1" t="s">
        <v>32</v>
      </c>
      <c r="E527" s="6">
        <v>46259.5625</v>
      </c>
      <c r="F527" s="6">
        <v>46259.720138888886</v>
      </c>
      <c r="G527" s="6">
        <v>46260.708333333336</v>
      </c>
      <c r="H527" s="6">
        <v>46260.734027777777</v>
      </c>
      <c r="I527" s="6">
        <v>46260.833333333336</v>
      </c>
      <c r="J527" s="6">
        <v>46260.769444444442</v>
      </c>
      <c r="K527" s="1" t="s">
        <v>66</v>
      </c>
      <c r="L527" s="1" t="s">
        <v>36</v>
      </c>
      <c r="M527" s="6">
        <v>46260.708333333336</v>
      </c>
      <c r="N527" s="6">
        <v>46260.861111111109</v>
      </c>
      <c r="O527" s="1">
        <v>0</v>
      </c>
      <c r="P527" s="1">
        <v>3</v>
      </c>
      <c r="Q527" s="5">
        <f t="shared" si="56"/>
        <v>0</v>
      </c>
      <c r="R527" s="5">
        <f t="shared" si="57"/>
        <v>1</v>
      </c>
      <c r="S527" s="5">
        <f t="shared" si="58"/>
        <v>1</v>
      </c>
      <c r="T527" s="5">
        <f t="shared" si="59"/>
        <v>1</v>
      </c>
      <c r="U527" s="5">
        <f t="shared" si="60"/>
        <v>0</v>
      </c>
      <c r="V527" s="5" t="str">
        <f t="shared" si="61"/>
        <v>上门超时</v>
      </c>
      <c r="W527" s="5">
        <f t="shared" si="62"/>
        <v>1</v>
      </c>
    </row>
    <row r="528" spans="1:23" ht="17.25" customHeight="1">
      <c r="A528" s="1" t="s">
        <v>594</v>
      </c>
      <c r="B528" s="1" t="s">
        <v>21</v>
      </c>
      <c r="C528" s="1" t="s">
        <v>24</v>
      </c>
      <c r="D528" s="1" t="s">
        <v>29</v>
      </c>
      <c r="E528" s="6">
        <v>46259.5625</v>
      </c>
      <c r="F528" s="6">
        <v>46259.654166666667</v>
      </c>
      <c r="G528" s="6">
        <v>46260.625</v>
      </c>
      <c r="H528" s="6">
        <v>46260.618055555555</v>
      </c>
      <c r="I528" s="6">
        <v>46260.791666666664</v>
      </c>
      <c r="J528" s="6">
        <v>46260.720138888886</v>
      </c>
      <c r="K528" s="1" t="s">
        <v>66</v>
      </c>
      <c r="L528" s="1" t="s">
        <v>34</v>
      </c>
      <c r="M528" s="6"/>
      <c r="N528" s="6"/>
      <c r="O528" s="1">
        <v>0</v>
      </c>
      <c r="P528" s="1">
        <v>3</v>
      </c>
      <c r="Q528" s="5">
        <f t="shared" si="56"/>
        <v>1</v>
      </c>
      <c r="R528" s="5">
        <f t="shared" si="57"/>
        <v>1</v>
      </c>
      <c r="S528" s="5">
        <f t="shared" si="58"/>
        <v>0</v>
      </c>
      <c r="T528" s="5">
        <f t="shared" si="59"/>
        <v>0</v>
      </c>
      <c r="U528" s="5">
        <f t="shared" si="60"/>
        <v>0</v>
      </c>
      <c r="V528" s="5" t="str">
        <f t="shared" si="61"/>
        <v>无</v>
      </c>
      <c r="W528" s="5">
        <f t="shared" si="62"/>
        <v>1</v>
      </c>
    </row>
    <row r="529" spans="1:23" ht="17.25" customHeight="1">
      <c r="A529" s="1" t="s">
        <v>595</v>
      </c>
      <c r="B529" s="1" t="s">
        <v>20</v>
      </c>
      <c r="C529" s="1" t="s">
        <v>25</v>
      </c>
      <c r="D529" s="1" t="s">
        <v>28</v>
      </c>
      <c r="E529" s="6">
        <v>46259.565972222219</v>
      </c>
      <c r="F529" s="6">
        <v>46259.694444444445</v>
      </c>
      <c r="G529" s="6">
        <v>46260.625</v>
      </c>
      <c r="H529" s="6">
        <v>46260.602777777778</v>
      </c>
      <c r="I529" s="6">
        <v>46260.833333333336</v>
      </c>
      <c r="J529" s="6">
        <v>46260.65</v>
      </c>
      <c r="K529" s="1" t="s">
        <v>66</v>
      </c>
      <c r="L529" s="1" t="s">
        <v>34</v>
      </c>
      <c r="M529" s="6"/>
      <c r="N529" s="6"/>
      <c r="O529" s="1">
        <v>0</v>
      </c>
      <c r="P529" s="1">
        <v>5</v>
      </c>
      <c r="Q529" s="5">
        <f t="shared" si="56"/>
        <v>1</v>
      </c>
      <c r="R529" s="5">
        <f t="shared" si="57"/>
        <v>1</v>
      </c>
      <c r="S529" s="5">
        <f t="shared" si="58"/>
        <v>0</v>
      </c>
      <c r="T529" s="5">
        <f t="shared" si="59"/>
        <v>0</v>
      </c>
      <c r="U529" s="5">
        <f t="shared" si="60"/>
        <v>0</v>
      </c>
      <c r="V529" s="5" t="str">
        <f t="shared" si="61"/>
        <v>无</v>
      </c>
      <c r="W529" s="5">
        <f t="shared" si="62"/>
        <v>1</v>
      </c>
    </row>
    <row r="530" spans="1:23" ht="17.25" customHeight="1">
      <c r="A530" s="1" t="s">
        <v>596</v>
      </c>
      <c r="B530" s="1" t="s">
        <v>21</v>
      </c>
      <c r="C530" s="1" t="s">
        <v>25</v>
      </c>
      <c r="D530" s="1" t="s">
        <v>29</v>
      </c>
      <c r="E530" s="6">
        <v>46259.586805555555</v>
      </c>
      <c r="F530" s="6">
        <v>46259.625694444447</v>
      </c>
      <c r="G530" s="6">
        <v>46261.416666666664</v>
      </c>
      <c r="H530" s="6">
        <v>46261.394444444442</v>
      </c>
      <c r="I530" s="6">
        <v>46261.625</v>
      </c>
      <c r="J530" s="6">
        <v>46261.447222222225</v>
      </c>
      <c r="K530" s="1" t="s">
        <v>66</v>
      </c>
      <c r="L530" s="1" t="s">
        <v>34</v>
      </c>
      <c r="M530" s="6"/>
      <c r="N530" s="6"/>
      <c r="O530" s="1">
        <v>0</v>
      </c>
      <c r="P530" s="1">
        <v>5</v>
      </c>
      <c r="Q530" s="5">
        <f t="shared" si="56"/>
        <v>1</v>
      </c>
      <c r="R530" s="5">
        <f t="shared" si="57"/>
        <v>1</v>
      </c>
      <c r="S530" s="5">
        <f t="shared" si="58"/>
        <v>0</v>
      </c>
      <c r="T530" s="5">
        <f t="shared" si="59"/>
        <v>0</v>
      </c>
      <c r="U530" s="5">
        <f t="shared" si="60"/>
        <v>0</v>
      </c>
      <c r="V530" s="5" t="str">
        <f t="shared" si="61"/>
        <v>无</v>
      </c>
      <c r="W530" s="5">
        <f t="shared" si="62"/>
        <v>1</v>
      </c>
    </row>
    <row r="531" spans="1:23" ht="17.25" customHeight="1">
      <c r="A531" s="1" t="s">
        <v>597</v>
      </c>
      <c r="B531" s="1" t="s">
        <v>20</v>
      </c>
      <c r="C531" s="1" t="s">
        <v>24</v>
      </c>
      <c r="D531" s="1" t="s">
        <v>27</v>
      </c>
      <c r="E531" s="6">
        <v>46259.590277777781</v>
      </c>
      <c r="F531" s="6">
        <v>46259.754166666666</v>
      </c>
      <c r="G531" s="6">
        <v>46261.708333333336</v>
      </c>
      <c r="H531" s="6">
        <v>46261.670138888891</v>
      </c>
      <c r="I531" s="6">
        <v>46261.875</v>
      </c>
      <c r="J531" s="6">
        <v>46261.772916666669</v>
      </c>
      <c r="K531" s="1" t="s">
        <v>66</v>
      </c>
      <c r="L531" s="1" t="s">
        <v>34</v>
      </c>
      <c r="M531" s="6"/>
      <c r="N531" s="6"/>
      <c r="O531" s="1">
        <v>0</v>
      </c>
      <c r="P531" s="1">
        <v>5</v>
      </c>
      <c r="Q531" s="5">
        <f t="shared" si="56"/>
        <v>1</v>
      </c>
      <c r="R531" s="5">
        <f t="shared" si="57"/>
        <v>1</v>
      </c>
      <c r="S531" s="5">
        <f t="shared" si="58"/>
        <v>0</v>
      </c>
      <c r="T531" s="5">
        <f t="shared" si="59"/>
        <v>0</v>
      </c>
      <c r="U531" s="5">
        <f t="shared" si="60"/>
        <v>0</v>
      </c>
      <c r="V531" s="5" t="str">
        <f t="shared" si="61"/>
        <v>无</v>
      </c>
      <c r="W531" s="5">
        <f t="shared" si="62"/>
        <v>1</v>
      </c>
    </row>
    <row r="532" spans="1:23" ht="17.25" customHeight="1">
      <c r="A532" s="1" t="s">
        <v>598</v>
      </c>
      <c r="B532" s="1" t="s">
        <v>21</v>
      </c>
      <c r="C532" s="1" t="s">
        <v>24</v>
      </c>
      <c r="D532" s="1" t="s">
        <v>30</v>
      </c>
      <c r="E532" s="6">
        <v>46259.638888888891</v>
      </c>
      <c r="F532" s="6"/>
      <c r="G532" s="6">
        <v>46260.5</v>
      </c>
      <c r="H532" s="6"/>
      <c r="I532" s="6">
        <v>46260.666666666664</v>
      </c>
      <c r="J532" s="6"/>
      <c r="K532" s="1" t="s">
        <v>73</v>
      </c>
      <c r="L532" s="1" t="s">
        <v>35</v>
      </c>
      <c r="M532" s="6">
        <v>46260.5</v>
      </c>
      <c r="N532" s="6"/>
      <c r="O532" s="1">
        <v>0</v>
      </c>
      <c r="P532" s="1"/>
      <c r="Q532" s="5">
        <f t="shared" si="56"/>
        <v>0</v>
      </c>
      <c r="R532" s="5">
        <f t="shared" si="57"/>
        <v>0</v>
      </c>
      <c r="S532" s="5">
        <f t="shared" si="58"/>
        <v>1</v>
      </c>
      <c r="T532" s="5">
        <f t="shared" si="59"/>
        <v>0</v>
      </c>
      <c r="U532" s="5">
        <f t="shared" si="60"/>
        <v>1</v>
      </c>
      <c r="V532" s="5" t="str">
        <f t="shared" si="61"/>
        <v>派单超时</v>
      </c>
      <c r="W532" s="5">
        <f t="shared" si="62"/>
        <v>1</v>
      </c>
    </row>
    <row r="533" spans="1:23" ht="17.25" customHeight="1">
      <c r="A533" s="1" t="s">
        <v>599</v>
      </c>
      <c r="B533" s="1" t="s">
        <v>22</v>
      </c>
      <c r="C533" s="1" t="s">
        <v>25</v>
      </c>
      <c r="D533" s="1" t="s">
        <v>31</v>
      </c>
      <c r="E533" s="6">
        <v>46259.645833333336</v>
      </c>
      <c r="F533" s="6">
        <v>46261.561111111114</v>
      </c>
      <c r="G533" s="6">
        <v>46261.5</v>
      </c>
      <c r="H533" s="6">
        <v>46261.594444444447</v>
      </c>
      <c r="I533" s="6">
        <v>46261.708333333336</v>
      </c>
      <c r="J533" s="6">
        <v>46261.640277777777</v>
      </c>
      <c r="K533" s="1" t="s">
        <v>66</v>
      </c>
      <c r="L533" s="1" t="s">
        <v>35</v>
      </c>
      <c r="M533" s="6">
        <v>46261.5</v>
      </c>
      <c r="N533" s="6">
        <v>46261.784722222219</v>
      </c>
      <c r="O533" s="1">
        <v>0</v>
      </c>
      <c r="P533" s="1">
        <v>4</v>
      </c>
      <c r="Q533" s="5">
        <f t="shared" si="56"/>
        <v>0</v>
      </c>
      <c r="R533" s="5">
        <f t="shared" si="57"/>
        <v>1</v>
      </c>
      <c r="S533" s="5">
        <f t="shared" si="58"/>
        <v>1</v>
      </c>
      <c r="T533" s="5">
        <f t="shared" si="59"/>
        <v>1</v>
      </c>
      <c r="U533" s="5">
        <f t="shared" si="60"/>
        <v>0</v>
      </c>
      <c r="V533" s="5" t="str">
        <f t="shared" si="61"/>
        <v>派单超时</v>
      </c>
      <c r="W533" s="5">
        <f t="shared" si="62"/>
        <v>1</v>
      </c>
    </row>
    <row r="534" spans="1:23" ht="17.25" customHeight="1">
      <c r="A534" s="1" t="s">
        <v>600</v>
      </c>
      <c r="B534" s="1" t="s">
        <v>22</v>
      </c>
      <c r="C534" s="1" t="s">
        <v>25</v>
      </c>
      <c r="D534" s="1" t="s">
        <v>32</v>
      </c>
      <c r="E534" s="6">
        <v>46259.659722222219</v>
      </c>
      <c r="F534" s="6">
        <v>46261.533333333333</v>
      </c>
      <c r="G534" s="6">
        <v>46261.5</v>
      </c>
      <c r="H534" s="6">
        <v>46261.551388888889</v>
      </c>
      <c r="I534" s="6">
        <v>46261.708333333336</v>
      </c>
      <c r="J534" s="6">
        <v>46261.609027777777</v>
      </c>
      <c r="K534" s="1" t="s">
        <v>66</v>
      </c>
      <c r="L534" s="1" t="s">
        <v>35</v>
      </c>
      <c r="M534" s="6">
        <v>46261.5</v>
      </c>
      <c r="N534" s="6">
        <v>46261.849305555559</v>
      </c>
      <c r="O534" s="1">
        <v>0</v>
      </c>
      <c r="P534" s="1">
        <v>3</v>
      </c>
      <c r="Q534" s="5">
        <f t="shared" si="56"/>
        <v>0</v>
      </c>
      <c r="R534" s="5">
        <f t="shared" si="57"/>
        <v>1</v>
      </c>
      <c r="S534" s="5">
        <f t="shared" si="58"/>
        <v>1</v>
      </c>
      <c r="T534" s="5">
        <f t="shared" si="59"/>
        <v>1</v>
      </c>
      <c r="U534" s="5">
        <f t="shared" si="60"/>
        <v>0</v>
      </c>
      <c r="V534" s="5" t="str">
        <f t="shared" si="61"/>
        <v>派单超时</v>
      </c>
      <c r="W534" s="5">
        <f t="shared" si="62"/>
        <v>1</v>
      </c>
    </row>
    <row r="535" spans="1:23" ht="17.25" customHeight="1">
      <c r="A535" s="1" t="s">
        <v>601</v>
      </c>
      <c r="B535" s="1" t="s">
        <v>20</v>
      </c>
      <c r="C535" s="1" t="s">
        <v>24</v>
      </c>
      <c r="D535" s="1" t="s">
        <v>28</v>
      </c>
      <c r="E535" s="6">
        <v>46259.690972222219</v>
      </c>
      <c r="F535" s="6">
        <v>46260.561111111114</v>
      </c>
      <c r="G535" s="6">
        <v>46260.5</v>
      </c>
      <c r="H535" s="6">
        <v>46260.614583333336</v>
      </c>
      <c r="I535" s="6">
        <v>46260.666666666664</v>
      </c>
      <c r="J535" s="6">
        <v>46260.65902777778</v>
      </c>
      <c r="K535" s="1" t="s">
        <v>66</v>
      </c>
      <c r="L535" s="1" t="s">
        <v>35</v>
      </c>
      <c r="M535" s="6">
        <v>46260.5</v>
      </c>
      <c r="N535" s="6">
        <v>46260.818749999999</v>
      </c>
      <c r="O535" s="1">
        <v>0</v>
      </c>
      <c r="P535" s="1">
        <v>4</v>
      </c>
      <c r="Q535" s="5">
        <f t="shared" si="56"/>
        <v>0</v>
      </c>
      <c r="R535" s="5">
        <f t="shared" si="57"/>
        <v>1</v>
      </c>
      <c r="S535" s="5">
        <f t="shared" si="58"/>
        <v>1</v>
      </c>
      <c r="T535" s="5">
        <f t="shared" si="59"/>
        <v>1</v>
      </c>
      <c r="U535" s="5">
        <f t="shared" si="60"/>
        <v>0</v>
      </c>
      <c r="V535" s="5" t="str">
        <f t="shared" si="61"/>
        <v>派单超时</v>
      </c>
      <c r="W535" s="5">
        <f t="shared" si="62"/>
        <v>1</v>
      </c>
    </row>
    <row r="536" spans="1:23" ht="17.25" customHeight="1">
      <c r="A536" s="1" t="s">
        <v>602</v>
      </c>
      <c r="B536" s="1" t="s">
        <v>20</v>
      </c>
      <c r="C536" s="1" t="s">
        <v>26</v>
      </c>
      <c r="D536" s="1" t="s">
        <v>27</v>
      </c>
      <c r="E536" s="6">
        <v>46259.739583333336</v>
      </c>
      <c r="F536" s="6">
        <v>46259.854166666664</v>
      </c>
      <c r="G536" s="6">
        <v>46261.5</v>
      </c>
      <c r="H536" s="6">
        <v>46261.472222222219</v>
      </c>
      <c r="I536" s="6">
        <v>46261.625</v>
      </c>
      <c r="J536" s="6">
        <v>46261.570833333331</v>
      </c>
      <c r="K536" s="1" t="s">
        <v>66</v>
      </c>
      <c r="L536" s="1" t="s">
        <v>34</v>
      </c>
      <c r="M536" s="6"/>
      <c r="N536" s="6"/>
      <c r="O536" s="1">
        <v>0</v>
      </c>
      <c r="P536" s="1">
        <v>4</v>
      </c>
      <c r="Q536" s="5">
        <f t="shared" si="56"/>
        <v>1</v>
      </c>
      <c r="R536" s="5">
        <f t="shared" si="57"/>
        <v>1</v>
      </c>
      <c r="S536" s="5">
        <f t="shared" si="58"/>
        <v>0</v>
      </c>
      <c r="T536" s="5">
        <f t="shared" si="59"/>
        <v>0</v>
      </c>
      <c r="U536" s="5">
        <f t="shared" si="60"/>
        <v>0</v>
      </c>
      <c r="V536" s="5" t="str">
        <f t="shared" si="61"/>
        <v>无</v>
      </c>
      <c r="W536" s="5">
        <f t="shared" si="62"/>
        <v>1</v>
      </c>
    </row>
    <row r="537" spans="1:23" ht="17.25" customHeight="1">
      <c r="A537" s="1" t="s">
        <v>603</v>
      </c>
      <c r="B537" s="1" t="s">
        <v>21</v>
      </c>
      <c r="C537" s="1" t="s">
        <v>25</v>
      </c>
      <c r="D537" s="1" t="s">
        <v>30</v>
      </c>
      <c r="E537" s="6">
        <v>46259.743055555555</v>
      </c>
      <c r="F537" s="6">
        <v>46259.898611111108</v>
      </c>
      <c r="G537" s="6">
        <v>46260.708333333336</v>
      </c>
      <c r="H537" s="6">
        <v>46260.682638888888</v>
      </c>
      <c r="I537" s="6">
        <v>46260.916666666664</v>
      </c>
      <c r="J537" s="6">
        <v>46261.03402777778</v>
      </c>
      <c r="K537" s="1" t="s">
        <v>66</v>
      </c>
      <c r="L537" s="1" t="s">
        <v>37</v>
      </c>
      <c r="M537" s="6">
        <v>46260.916666666664</v>
      </c>
      <c r="N537" s="6">
        <v>46261.092361111114</v>
      </c>
      <c r="O537" s="1">
        <v>0</v>
      </c>
      <c r="P537" s="1">
        <v>3</v>
      </c>
      <c r="Q537" s="5">
        <f t="shared" si="56"/>
        <v>1</v>
      </c>
      <c r="R537" s="5">
        <f t="shared" si="57"/>
        <v>0</v>
      </c>
      <c r="S537" s="5">
        <f t="shared" si="58"/>
        <v>1</v>
      </c>
      <c r="T537" s="5">
        <f t="shared" si="59"/>
        <v>1</v>
      </c>
      <c r="U537" s="5">
        <f t="shared" si="60"/>
        <v>0</v>
      </c>
      <c r="V537" s="5" t="str">
        <f t="shared" si="61"/>
        <v>完工超时</v>
      </c>
      <c r="W537" s="5">
        <f t="shared" si="62"/>
        <v>1</v>
      </c>
    </row>
    <row r="538" spans="1:23" ht="17.25" customHeight="1">
      <c r="A538" s="1" t="s">
        <v>604</v>
      </c>
      <c r="B538" s="1" t="s">
        <v>22</v>
      </c>
      <c r="C538" s="1" t="s">
        <v>24</v>
      </c>
      <c r="D538" s="1" t="s">
        <v>32</v>
      </c>
      <c r="E538" s="6">
        <v>46259.784722222219</v>
      </c>
      <c r="F538" s="6">
        <v>46259.876388888886</v>
      </c>
      <c r="G538" s="6">
        <v>46260.625</v>
      </c>
      <c r="H538" s="6">
        <v>46260.602083333331</v>
      </c>
      <c r="I538" s="6">
        <v>46260.791666666664</v>
      </c>
      <c r="J538" s="6">
        <v>46260.682638888888</v>
      </c>
      <c r="K538" s="1" t="s">
        <v>66</v>
      </c>
      <c r="L538" s="1" t="s">
        <v>34</v>
      </c>
      <c r="M538" s="6"/>
      <c r="N538" s="6"/>
      <c r="O538" s="1">
        <v>0</v>
      </c>
      <c r="P538" s="1"/>
      <c r="Q538" s="5">
        <f t="shared" si="56"/>
        <v>1</v>
      </c>
      <c r="R538" s="5">
        <f t="shared" si="57"/>
        <v>1</v>
      </c>
      <c r="S538" s="5">
        <f t="shared" si="58"/>
        <v>0</v>
      </c>
      <c r="T538" s="5">
        <f t="shared" si="59"/>
        <v>0</v>
      </c>
      <c r="U538" s="5">
        <f t="shared" si="60"/>
        <v>0</v>
      </c>
      <c r="V538" s="5" t="str">
        <f t="shared" si="61"/>
        <v>无</v>
      </c>
      <c r="W538" s="5">
        <f t="shared" si="62"/>
        <v>1</v>
      </c>
    </row>
    <row r="539" spans="1:23" ht="17.25" customHeight="1">
      <c r="A539" s="1" t="s">
        <v>605</v>
      </c>
      <c r="B539" s="1" t="s">
        <v>22</v>
      </c>
      <c r="C539" s="1" t="s">
        <v>25</v>
      </c>
      <c r="D539" s="1" t="s">
        <v>31</v>
      </c>
      <c r="E539" s="6">
        <v>46260.364583333336</v>
      </c>
      <c r="F539" s="6">
        <v>46260.430555555555</v>
      </c>
      <c r="G539" s="6">
        <v>46261.625</v>
      </c>
      <c r="H539" s="6">
        <v>46261.617361111108</v>
      </c>
      <c r="I539" s="6">
        <v>46261.833333333336</v>
      </c>
      <c r="J539" s="6">
        <v>46261.677083333336</v>
      </c>
      <c r="K539" s="1" t="s">
        <v>66</v>
      </c>
      <c r="L539" s="1" t="s">
        <v>34</v>
      </c>
      <c r="M539" s="6"/>
      <c r="N539" s="6"/>
      <c r="O539" s="1">
        <v>1</v>
      </c>
      <c r="P539" s="1">
        <v>1</v>
      </c>
      <c r="Q539" s="5">
        <f t="shared" si="56"/>
        <v>1</v>
      </c>
      <c r="R539" s="5">
        <f t="shared" si="57"/>
        <v>1</v>
      </c>
      <c r="S539" s="5">
        <f t="shared" si="58"/>
        <v>0</v>
      </c>
      <c r="T539" s="5">
        <f t="shared" si="59"/>
        <v>0</v>
      </c>
      <c r="U539" s="5">
        <f t="shared" si="60"/>
        <v>0</v>
      </c>
      <c r="V539" s="5" t="str">
        <f t="shared" si="61"/>
        <v>无</v>
      </c>
      <c r="W539" s="5">
        <f t="shared" si="62"/>
        <v>1</v>
      </c>
    </row>
    <row r="540" spans="1:23" ht="17.25" customHeight="1">
      <c r="A540" s="1" t="s">
        <v>606</v>
      </c>
      <c r="B540" s="1" t="s">
        <v>20</v>
      </c>
      <c r="C540" s="1" t="s">
        <v>25</v>
      </c>
      <c r="D540" s="1" t="s">
        <v>27</v>
      </c>
      <c r="E540" s="6">
        <v>46260.388888888891</v>
      </c>
      <c r="F540" s="6">
        <v>46260.431944444441</v>
      </c>
      <c r="G540" s="6">
        <v>46262.5</v>
      </c>
      <c r="H540" s="6">
        <v>46262.458333333336</v>
      </c>
      <c r="I540" s="6">
        <v>46262.708333333336</v>
      </c>
      <c r="J540" s="6">
        <v>46262.539583333331</v>
      </c>
      <c r="K540" s="1" t="s">
        <v>66</v>
      </c>
      <c r="L540" s="1" t="s">
        <v>34</v>
      </c>
      <c r="M540" s="6"/>
      <c r="N540" s="6"/>
      <c r="O540" s="1">
        <v>0</v>
      </c>
      <c r="P540" s="1">
        <v>4</v>
      </c>
      <c r="Q540" s="5">
        <f t="shared" si="56"/>
        <v>1</v>
      </c>
      <c r="R540" s="5">
        <f t="shared" si="57"/>
        <v>1</v>
      </c>
      <c r="S540" s="5">
        <f t="shared" si="58"/>
        <v>0</v>
      </c>
      <c r="T540" s="5">
        <f t="shared" si="59"/>
        <v>0</v>
      </c>
      <c r="U540" s="5">
        <f t="shared" si="60"/>
        <v>0</v>
      </c>
      <c r="V540" s="5" t="str">
        <f t="shared" si="61"/>
        <v>无</v>
      </c>
      <c r="W540" s="5">
        <f t="shared" si="62"/>
        <v>1</v>
      </c>
    </row>
    <row r="541" spans="1:23" ht="17.25" customHeight="1">
      <c r="A541" s="1" t="s">
        <v>607</v>
      </c>
      <c r="B541" s="1" t="s">
        <v>22</v>
      </c>
      <c r="C541" s="1" t="s">
        <v>24</v>
      </c>
      <c r="D541" s="1" t="s">
        <v>31</v>
      </c>
      <c r="E541" s="6">
        <v>46260.388888888891</v>
      </c>
      <c r="F541" s="6">
        <v>46260.411805555559</v>
      </c>
      <c r="G541" s="6">
        <v>46262.625</v>
      </c>
      <c r="H541" s="6">
        <v>46262.604861111111</v>
      </c>
      <c r="I541" s="6">
        <v>46262.791666666664</v>
      </c>
      <c r="J541" s="6">
        <v>46262.650694444441</v>
      </c>
      <c r="K541" s="1" t="s">
        <v>66</v>
      </c>
      <c r="L541" s="1" t="s">
        <v>34</v>
      </c>
      <c r="M541" s="6"/>
      <c r="N541" s="6"/>
      <c r="O541" s="1">
        <v>0</v>
      </c>
      <c r="P541" s="1">
        <v>3</v>
      </c>
      <c r="Q541" s="5">
        <f t="shared" si="56"/>
        <v>1</v>
      </c>
      <c r="R541" s="5">
        <f t="shared" si="57"/>
        <v>1</v>
      </c>
      <c r="S541" s="5">
        <f t="shared" si="58"/>
        <v>0</v>
      </c>
      <c r="T541" s="5">
        <f t="shared" si="59"/>
        <v>0</v>
      </c>
      <c r="U541" s="5">
        <f t="shared" si="60"/>
        <v>0</v>
      </c>
      <c r="V541" s="5" t="str">
        <f t="shared" si="61"/>
        <v>无</v>
      </c>
      <c r="W541" s="5">
        <f t="shared" si="62"/>
        <v>1</v>
      </c>
    </row>
    <row r="542" spans="1:23" ht="17.25" customHeight="1">
      <c r="A542" s="1" t="s">
        <v>608</v>
      </c>
      <c r="B542" s="1" t="s">
        <v>21</v>
      </c>
      <c r="C542" s="1" t="s">
        <v>25</v>
      </c>
      <c r="D542" s="1" t="s">
        <v>29</v>
      </c>
      <c r="E542" s="6">
        <v>46260.395833333336</v>
      </c>
      <c r="F542" s="6">
        <v>46260.484722222223</v>
      </c>
      <c r="G542" s="6">
        <v>46262.416666666664</v>
      </c>
      <c r="H542" s="6">
        <v>46262.386805555558</v>
      </c>
      <c r="I542" s="6">
        <v>46262.625</v>
      </c>
      <c r="J542" s="6">
        <v>46262.438888888886</v>
      </c>
      <c r="K542" s="1" t="s">
        <v>66</v>
      </c>
      <c r="L542" s="1" t="s">
        <v>34</v>
      </c>
      <c r="M542" s="6"/>
      <c r="N542" s="6"/>
      <c r="O542" s="1">
        <v>0</v>
      </c>
      <c r="P542" s="1">
        <v>4</v>
      </c>
      <c r="Q542" s="5">
        <f t="shared" si="56"/>
        <v>1</v>
      </c>
      <c r="R542" s="5">
        <f t="shared" si="57"/>
        <v>1</v>
      </c>
      <c r="S542" s="5">
        <f t="shared" si="58"/>
        <v>0</v>
      </c>
      <c r="T542" s="5">
        <f t="shared" si="59"/>
        <v>0</v>
      </c>
      <c r="U542" s="5">
        <f t="shared" si="60"/>
        <v>0</v>
      </c>
      <c r="V542" s="5" t="str">
        <f t="shared" si="61"/>
        <v>无</v>
      </c>
      <c r="W542" s="5">
        <f t="shared" si="62"/>
        <v>1</v>
      </c>
    </row>
    <row r="543" spans="1:23" ht="17.25" customHeight="1">
      <c r="A543" s="1" t="s">
        <v>609</v>
      </c>
      <c r="B543" s="1" t="s">
        <v>20</v>
      </c>
      <c r="C543" s="1" t="s">
        <v>24</v>
      </c>
      <c r="D543" s="1" t="s">
        <v>28</v>
      </c>
      <c r="E543" s="6">
        <v>46260.423611111109</v>
      </c>
      <c r="F543" s="6">
        <v>46260.552777777775</v>
      </c>
      <c r="G543" s="6">
        <v>46263.416666666664</v>
      </c>
      <c r="H543" s="6">
        <v>46263.378472222219</v>
      </c>
      <c r="I543" s="6">
        <v>46263.583333333336</v>
      </c>
      <c r="J543" s="6">
        <v>46263.413194444445</v>
      </c>
      <c r="K543" s="1" t="s">
        <v>66</v>
      </c>
      <c r="L543" s="1" t="s">
        <v>34</v>
      </c>
      <c r="M543" s="6"/>
      <c r="N543" s="6"/>
      <c r="O543" s="1">
        <v>0</v>
      </c>
      <c r="P543" s="1"/>
      <c r="Q543" s="5">
        <f t="shared" si="56"/>
        <v>1</v>
      </c>
      <c r="R543" s="5">
        <f t="shared" si="57"/>
        <v>1</v>
      </c>
      <c r="S543" s="5">
        <f t="shared" si="58"/>
        <v>0</v>
      </c>
      <c r="T543" s="5">
        <f t="shared" si="59"/>
        <v>0</v>
      </c>
      <c r="U543" s="5">
        <f t="shared" si="60"/>
        <v>0</v>
      </c>
      <c r="V543" s="5" t="str">
        <f t="shared" si="61"/>
        <v>无</v>
      </c>
      <c r="W543" s="5">
        <f t="shared" si="62"/>
        <v>1</v>
      </c>
    </row>
    <row r="544" spans="1:23" ht="17.25" customHeight="1">
      <c r="A544" s="1" t="s">
        <v>610</v>
      </c>
      <c r="B544" s="1" t="s">
        <v>20</v>
      </c>
      <c r="C544" s="1" t="s">
        <v>25</v>
      </c>
      <c r="D544" s="1" t="s">
        <v>27</v>
      </c>
      <c r="E544" s="6">
        <v>46260.440972222219</v>
      </c>
      <c r="F544" s="6">
        <v>46260.487500000003</v>
      </c>
      <c r="G544" s="6">
        <v>46261.625</v>
      </c>
      <c r="H544" s="6">
        <v>46261.585416666669</v>
      </c>
      <c r="I544" s="6">
        <v>46261.833333333336</v>
      </c>
      <c r="J544" s="6">
        <v>46261.670138888891</v>
      </c>
      <c r="K544" s="1" t="s">
        <v>66</v>
      </c>
      <c r="L544" s="1" t="s">
        <v>34</v>
      </c>
      <c r="M544" s="6"/>
      <c r="N544" s="6"/>
      <c r="O544" s="1">
        <v>0</v>
      </c>
      <c r="P544" s="1">
        <v>5</v>
      </c>
      <c r="Q544" s="5">
        <f t="shared" si="56"/>
        <v>1</v>
      </c>
      <c r="R544" s="5">
        <f t="shared" si="57"/>
        <v>1</v>
      </c>
      <c r="S544" s="5">
        <f t="shared" si="58"/>
        <v>0</v>
      </c>
      <c r="T544" s="5">
        <f t="shared" si="59"/>
        <v>0</v>
      </c>
      <c r="U544" s="5">
        <f t="shared" si="60"/>
        <v>0</v>
      </c>
      <c r="V544" s="5" t="str">
        <f t="shared" si="61"/>
        <v>无</v>
      </c>
      <c r="W544" s="5">
        <f t="shared" si="62"/>
        <v>1</v>
      </c>
    </row>
    <row r="545" spans="1:23" ht="17.25" customHeight="1">
      <c r="A545" s="1" t="s">
        <v>611</v>
      </c>
      <c r="B545" s="1" t="s">
        <v>22</v>
      </c>
      <c r="C545" s="1" t="s">
        <v>26</v>
      </c>
      <c r="D545" s="1" t="s">
        <v>32</v>
      </c>
      <c r="E545" s="6">
        <v>46260.440972222219</v>
      </c>
      <c r="F545" s="6">
        <v>46260.497916666667</v>
      </c>
      <c r="G545" s="6">
        <v>46261.625</v>
      </c>
      <c r="H545" s="6">
        <v>46261.609027777777</v>
      </c>
      <c r="I545" s="6">
        <v>46261.75</v>
      </c>
      <c r="J545" s="6">
        <v>46261.712500000001</v>
      </c>
      <c r="K545" s="1" t="s">
        <v>66</v>
      </c>
      <c r="L545" s="1" t="s">
        <v>34</v>
      </c>
      <c r="M545" s="6"/>
      <c r="N545" s="6"/>
      <c r="O545" s="1">
        <v>0</v>
      </c>
      <c r="P545" s="1">
        <v>3</v>
      </c>
      <c r="Q545" s="5">
        <f t="shared" si="56"/>
        <v>1</v>
      </c>
      <c r="R545" s="5">
        <f t="shared" si="57"/>
        <v>1</v>
      </c>
      <c r="S545" s="5">
        <f t="shared" si="58"/>
        <v>0</v>
      </c>
      <c r="T545" s="5">
        <f t="shared" si="59"/>
        <v>0</v>
      </c>
      <c r="U545" s="5">
        <f t="shared" si="60"/>
        <v>0</v>
      </c>
      <c r="V545" s="5" t="str">
        <f t="shared" si="61"/>
        <v>无</v>
      </c>
      <c r="W545" s="5">
        <f t="shared" si="62"/>
        <v>1</v>
      </c>
    </row>
    <row r="546" spans="1:23" ht="17.25" customHeight="1">
      <c r="A546" s="1" t="s">
        <v>612</v>
      </c>
      <c r="B546" s="1" t="s">
        <v>21</v>
      </c>
      <c r="C546" s="1" t="s">
        <v>26</v>
      </c>
      <c r="D546" s="1" t="s">
        <v>29</v>
      </c>
      <c r="E546" s="6">
        <v>46260.475694444445</v>
      </c>
      <c r="F546" s="6">
        <v>46260.618055555555</v>
      </c>
      <c r="G546" s="6">
        <v>46261.708333333336</v>
      </c>
      <c r="H546" s="6">
        <v>46261.661805555559</v>
      </c>
      <c r="I546" s="6">
        <v>46261.833333333336</v>
      </c>
      <c r="J546" s="6">
        <v>46261.746527777781</v>
      </c>
      <c r="K546" s="1" t="s">
        <v>66</v>
      </c>
      <c r="L546" s="1" t="s">
        <v>34</v>
      </c>
      <c r="M546" s="6"/>
      <c r="N546" s="6"/>
      <c r="O546" s="1">
        <v>0</v>
      </c>
      <c r="P546" s="1">
        <v>4</v>
      </c>
      <c r="Q546" s="5">
        <f t="shared" si="56"/>
        <v>1</v>
      </c>
      <c r="R546" s="5">
        <f t="shared" si="57"/>
        <v>1</v>
      </c>
      <c r="S546" s="5">
        <f t="shared" si="58"/>
        <v>0</v>
      </c>
      <c r="T546" s="5">
        <f t="shared" si="59"/>
        <v>0</v>
      </c>
      <c r="U546" s="5">
        <f t="shared" si="60"/>
        <v>0</v>
      </c>
      <c r="V546" s="5" t="str">
        <f t="shared" si="61"/>
        <v>无</v>
      </c>
      <c r="W546" s="5">
        <f t="shared" si="62"/>
        <v>1</v>
      </c>
    </row>
    <row r="547" spans="1:23" ht="17.25" customHeight="1">
      <c r="A547" s="1" t="s">
        <v>613</v>
      </c>
      <c r="B547" s="1" t="s">
        <v>22</v>
      </c>
      <c r="C547" s="1" t="s">
        <v>24</v>
      </c>
      <c r="D547" s="1" t="s">
        <v>32</v>
      </c>
      <c r="E547" s="6">
        <v>46260.510416666664</v>
      </c>
      <c r="F547" s="6">
        <v>46260.661111111112</v>
      </c>
      <c r="G547" s="6">
        <v>46262.5</v>
      </c>
      <c r="H547" s="6">
        <v>46262.478472222225</v>
      </c>
      <c r="I547" s="6">
        <v>46262.666666666664</v>
      </c>
      <c r="J547" s="6">
        <v>46262.520833333336</v>
      </c>
      <c r="K547" s="1" t="s">
        <v>66</v>
      </c>
      <c r="L547" s="1" t="s">
        <v>34</v>
      </c>
      <c r="M547" s="6"/>
      <c r="N547" s="6"/>
      <c r="O547" s="1">
        <v>1</v>
      </c>
      <c r="P547" s="1"/>
      <c r="Q547" s="5">
        <f t="shared" si="56"/>
        <v>1</v>
      </c>
      <c r="R547" s="5">
        <f t="shared" si="57"/>
        <v>1</v>
      </c>
      <c r="S547" s="5">
        <f t="shared" si="58"/>
        <v>0</v>
      </c>
      <c r="T547" s="5">
        <f t="shared" si="59"/>
        <v>0</v>
      </c>
      <c r="U547" s="5">
        <f t="shared" si="60"/>
        <v>0</v>
      </c>
      <c r="V547" s="5" t="str">
        <f t="shared" si="61"/>
        <v>无</v>
      </c>
      <c r="W547" s="5">
        <f t="shared" si="62"/>
        <v>1</v>
      </c>
    </row>
    <row r="548" spans="1:23" ht="17.25" customHeight="1">
      <c r="A548" s="1" t="s">
        <v>614</v>
      </c>
      <c r="B548" s="1" t="s">
        <v>21</v>
      </c>
      <c r="C548" s="1" t="s">
        <v>24</v>
      </c>
      <c r="D548" s="1" t="s">
        <v>30</v>
      </c>
      <c r="E548" s="6">
        <v>46260.517361111109</v>
      </c>
      <c r="F548" s="6">
        <v>46260.658333333333</v>
      </c>
      <c r="G548" s="6">
        <v>46261.625</v>
      </c>
      <c r="H548" s="6">
        <v>46261.592361111114</v>
      </c>
      <c r="I548" s="6">
        <v>46261.791666666664</v>
      </c>
      <c r="J548" s="6">
        <v>46261.652083333334</v>
      </c>
      <c r="K548" s="1" t="s">
        <v>66</v>
      </c>
      <c r="L548" s="1" t="s">
        <v>34</v>
      </c>
      <c r="M548" s="6"/>
      <c r="N548" s="6"/>
      <c r="O548" s="1">
        <v>0</v>
      </c>
      <c r="P548" s="1">
        <v>3</v>
      </c>
      <c r="Q548" s="5">
        <f t="shared" si="56"/>
        <v>1</v>
      </c>
      <c r="R548" s="5">
        <f t="shared" si="57"/>
        <v>1</v>
      </c>
      <c r="S548" s="5">
        <f t="shared" si="58"/>
        <v>0</v>
      </c>
      <c r="T548" s="5">
        <f t="shared" si="59"/>
        <v>0</v>
      </c>
      <c r="U548" s="5">
        <f t="shared" si="60"/>
        <v>0</v>
      </c>
      <c r="V548" s="5" t="str">
        <f t="shared" si="61"/>
        <v>无</v>
      </c>
      <c r="W548" s="5">
        <f t="shared" si="62"/>
        <v>1</v>
      </c>
    </row>
    <row r="549" spans="1:23" ht="17.25" customHeight="1">
      <c r="A549" s="1" t="s">
        <v>615</v>
      </c>
      <c r="B549" s="1" t="s">
        <v>21</v>
      </c>
      <c r="C549" s="1" t="s">
        <v>25</v>
      </c>
      <c r="D549" s="1" t="s">
        <v>30</v>
      </c>
      <c r="E549" s="6">
        <v>46260.538194444445</v>
      </c>
      <c r="F549" s="6">
        <v>46260.605555555558</v>
      </c>
      <c r="G549" s="6">
        <v>46261.416666666664</v>
      </c>
      <c r="H549" s="6">
        <v>46261.406944444447</v>
      </c>
      <c r="I549" s="6">
        <v>46261.625</v>
      </c>
      <c r="J549" s="6">
        <v>46261.452777777777</v>
      </c>
      <c r="K549" s="1" t="s">
        <v>66</v>
      </c>
      <c r="L549" s="1" t="s">
        <v>34</v>
      </c>
      <c r="M549" s="6"/>
      <c r="N549" s="6"/>
      <c r="O549" s="1">
        <v>0</v>
      </c>
      <c r="P549" s="1">
        <v>5</v>
      </c>
      <c r="Q549" s="5">
        <f t="shared" si="56"/>
        <v>1</v>
      </c>
      <c r="R549" s="5">
        <f t="shared" si="57"/>
        <v>1</v>
      </c>
      <c r="S549" s="5">
        <f t="shared" si="58"/>
        <v>0</v>
      </c>
      <c r="T549" s="5">
        <f t="shared" si="59"/>
        <v>0</v>
      </c>
      <c r="U549" s="5">
        <f t="shared" si="60"/>
        <v>0</v>
      </c>
      <c r="V549" s="5" t="str">
        <f t="shared" si="61"/>
        <v>无</v>
      </c>
      <c r="W549" s="5">
        <f t="shared" si="62"/>
        <v>1</v>
      </c>
    </row>
    <row r="550" spans="1:23" ht="17.25" customHeight="1">
      <c r="A550" s="1" t="s">
        <v>616</v>
      </c>
      <c r="B550" s="1" t="s">
        <v>22</v>
      </c>
      <c r="C550" s="1" t="s">
        <v>25</v>
      </c>
      <c r="D550" s="1" t="s">
        <v>32</v>
      </c>
      <c r="E550" s="6">
        <v>46260.545138888891</v>
      </c>
      <c r="F550" s="6">
        <v>46260.689583333333</v>
      </c>
      <c r="G550" s="6">
        <v>46262.5</v>
      </c>
      <c r="H550" s="6">
        <v>46262.486111111109</v>
      </c>
      <c r="I550" s="6">
        <v>46262.708333333336</v>
      </c>
      <c r="J550" s="6">
        <v>46262.556250000001</v>
      </c>
      <c r="K550" s="1" t="s">
        <v>66</v>
      </c>
      <c r="L550" s="1" t="s">
        <v>34</v>
      </c>
      <c r="M550" s="6"/>
      <c r="N550" s="6"/>
      <c r="O550" s="1">
        <v>0</v>
      </c>
      <c r="P550" s="1">
        <v>5</v>
      </c>
      <c r="Q550" s="5">
        <f t="shared" si="56"/>
        <v>1</v>
      </c>
      <c r="R550" s="5">
        <f t="shared" si="57"/>
        <v>1</v>
      </c>
      <c r="S550" s="5">
        <f t="shared" si="58"/>
        <v>0</v>
      </c>
      <c r="T550" s="5">
        <f t="shared" si="59"/>
        <v>0</v>
      </c>
      <c r="U550" s="5">
        <f t="shared" si="60"/>
        <v>0</v>
      </c>
      <c r="V550" s="5" t="str">
        <f t="shared" si="61"/>
        <v>无</v>
      </c>
      <c r="W550" s="5">
        <f t="shared" si="62"/>
        <v>1</v>
      </c>
    </row>
    <row r="551" spans="1:23" ht="17.25" customHeight="1">
      <c r="A551" s="1" t="s">
        <v>617</v>
      </c>
      <c r="B551" s="1" t="s">
        <v>22</v>
      </c>
      <c r="C551" s="1" t="s">
        <v>24</v>
      </c>
      <c r="D551" s="1" t="s">
        <v>32</v>
      </c>
      <c r="E551" s="6">
        <v>46260.548611111109</v>
      </c>
      <c r="F551" s="6">
        <v>46260.67291666667</v>
      </c>
      <c r="G551" s="6">
        <v>46262.625</v>
      </c>
      <c r="H551" s="6"/>
      <c r="I551" s="6">
        <v>46262.791666666664</v>
      </c>
      <c r="J551" s="6"/>
      <c r="K551" s="1" t="s">
        <v>73</v>
      </c>
      <c r="L551" s="1" t="s">
        <v>36</v>
      </c>
      <c r="M551" s="6">
        <v>46262.625</v>
      </c>
      <c r="N551" s="6"/>
      <c r="O551" s="1">
        <v>0</v>
      </c>
      <c r="P551" s="1"/>
      <c r="Q551" s="5">
        <f t="shared" si="56"/>
        <v>0</v>
      </c>
      <c r="R551" s="5">
        <f t="shared" si="57"/>
        <v>0</v>
      </c>
      <c r="S551" s="5">
        <f t="shared" si="58"/>
        <v>1</v>
      </c>
      <c r="T551" s="5">
        <f t="shared" si="59"/>
        <v>0</v>
      </c>
      <c r="U551" s="5">
        <f t="shared" si="60"/>
        <v>1</v>
      </c>
      <c r="V551" s="5" t="str">
        <f t="shared" si="61"/>
        <v>上门超时</v>
      </c>
      <c r="W551" s="5">
        <f t="shared" si="62"/>
        <v>1</v>
      </c>
    </row>
    <row r="552" spans="1:23" ht="17.25" customHeight="1">
      <c r="A552" s="1" t="s">
        <v>618</v>
      </c>
      <c r="B552" s="1" t="s">
        <v>22</v>
      </c>
      <c r="C552" s="1" t="s">
        <v>24</v>
      </c>
      <c r="D552" s="1" t="s">
        <v>32</v>
      </c>
      <c r="E552" s="6">
        <v>46260.565972222219</v>
      </c>
      <c r="F552" s="6">
        <v>46260.606944444444</v>
      </c>
      <c r="G552" s="6">
        <v>46261.5</v>
      </c>
      <c r="H552" s="6">
        <v>46261.455555555556</v>
      </c>
      <c r="I552" s="6">
        <v>46261.666666666664</v>
      </c>
      <c r="J552" s="6">
        <v>46261.542361111111</v>
      </c>
      <c r="K552" s="1" t="s">
        <v>66</v>
      </c>
      <c r="L552" s="1" t="s">
        <v>34</v>
      </c>
      <c r="M552" s="6"/>
      <c r="N552" s="6"/>
      <c r="O552" s="1">
        <v>0</v>
      </c>
      <c r="P552" s="1">
        <v>5</v>
      </c>
      <c r="Q552" s="5">
        <f t="shared" si="56"/>
        <v>1</v>
      </c>
      <c r="R552" s="5">
        <f t="shared" si="57"/>
        <v>1</v>
      </c>
      <c r="S552" s="5">
        <f t="shared" si="58"/>
        <v>0</v>
      </c>
      <c r="T552" s="5">
        <f t="shared" si="59"/>
        <v>0</v>
      </c>
      <c r="U552" s="5">
        <f t="shared" si="60"/>
        <v>0</v>
      </c>
      <c r="V552" s="5" t="str">
        <f t="shared" si="61"/>
        <v>无</v>
      </c>
      <c r="W552" s="5">
        <f t="shared" si="62"/>
        <v>1</v>
      </c>
    </row>
    <row r="553" spans="1:23" ht="17.25" customHeight="1">
      <c r="A553" s="1" t="s">
        <v>619</v>
      </c>
      <c r="B553" s="1" t="s">
        <v>22</v>
      </c>
      <c r="C553" s="1" t="s">
        <v>25</v>
      </c>
      <c r="D553" s="1" t="s">
        <v>32</v>
      </c>
      <c r="E553" s="6">
        <v>46260.572916666664</v>
      </c>
      <c r="F553" s="6">
        <v>46260.609027777777</v>
      </c>
      <c r="G553" s="6">
        <v>46261.416666666664</v>
      </c>
      <c r="H553" s="6">
        <v>46261.393055555556</v>
      </c>
      <c r="I553" s="6">
        <v>46261.625</v>
      </c>
      <c r="J553" s="6">
        <v>46261.657638888886</v>
      </c>
      <c r="K553" s="1" t="s">
        <v>66</v>
      </c>
      <c r="L553" s="1" t="s">
        <v>37</v>
      </c>
      <c r="M553" s="6">
        <v>46261.625</v>
      </c>
      <c r="N553" s="6">
        <v>46261.732638888891</v>
      </c>
      <c r="O553" s="1">
        <v>0</v>
      </c>
      <c r="P553" s="1">
        <v>4</v>
      </c>
      <c r="Q553" s="5">
        <f t="shared" si="56"/>
        <v>1</v>
      </c>
      <c r="R553" s="5">
        <f t="shared" si="57"/>
        <v>0</v>
      </c>
      <c r="S553" s="5">
        <f t="shared" si="58"/>
        <v>1</v>
      </c>
      <c r="T553" s="5">
        <f t="shared" si="59"/>
        <v>1</v>
      </c>
      <c r="U553" s="5">
        <f t="shared" si="60"/>
        <v>0</v>
      </c>
      <c r="V553" s="5" t="str">
        <f t="shared" si="61"/>
        <v>完工超时</v>
      </c>
      <c r="W553" s="5">
        <f t="shared" si="62"/>
        <v>1</v>
      </c>
    </row>
    <row r="554" spans="1:23" ht="17.25" customHeight="1">
      <c r="A554" s="1" t="s">
        <v>620</v>
      </c>
      <c r="B554" s="1" t="s">
        <v>20</v>
      </c>
      <c r="C554" s="1" t="s">
        <v>24</v>
      </c>
      <c r="D554" s="1" t="s">
        <v>27</v>
      </c>
      <c r="E554" s="6">
        <v>46260.576388888891</v>
      </c>
      <c r="F554" s="6">
        <v>46260.626388888886</v>
      </c>
      <c r="G554" s="6">
        <v>46262.5</v>
      </c>
      <c r="H554" s="6">
        <v>46262.470138888886</v>
      </c>
      <c r="I554" s="6">
        <v>46262.666666666664</v>
      </c>
      <c r="J554" s="6">
        <v>46262.542361111111</v>
      </c>
      <c r="K554" s="1" t="s">
        <v>66</v>
      </c>
      <c r="L554" s="1" t="s">
        <v>34</v>
      </c>
      <c r="M554" s="6"/>
      <c r="N554" s="6"/>
      <c r="O554" s="1">
        <v>0</v>
      </c>
      <c r="P554" s="1">
        <v>5</v>
      </c>
      <c r="Q554" s="5">
        <f t="shared" si="56"/>
        <v>1</v>
      </c>
      <c r="R554" s="5">
        <f t="shared" si="57"/>
        <v>1</v>
      </c>
      <c r="S554" s="5">
        <f t="shared" si="58"/>
        <v>0</v>
      </c>
      <c r="T554" s="5">
        <f t="shared" si="59"/>
        <v>0</v>
      </c>
      <c r="U554" s="5">
        <f t="shared" si="60"/>
        <v>0</v>
      </c>
      <c r="V554" s="5" t="str">
        <f t="shared" si="61"/>
        <v>无</v>
      </c>
      <c r="W554" s="5">
        <f t="shared" si="62"/>
        <v>1</v>
      </c>
    </row>
    <row r="555" spans="1:23" ht="17.25" customHeight="1">
      <c r="A555" s="1" t="s">
        <v>621</v>
      </c>
      <c r="B555" s="1" t="s">
        <v>20</v>
      </c>
      <c r="C555" s="1" t="s">
        <v>25</v>
      </c>
      <c r="D555" s="1" t="s">
        <v>28</v>
      </c>
      <c r="E555" s="6">
        <v>46260.583333333336</v>
      </c>
      <c r="F555" s="6">
        <v>46260.734722222223</v>
      </c>
      <c r="G555" s="6">
        <v>46261.416666666664</v>
      </c>
      <c r="H555" s="6">
        <v>46261.382638888892</v>
      </c>
      <c r="I555" s="6">
        <v>46261.625</v>
      </c>
      <c r="J555" s="6">
        <v>46261.638888888891</v>
      </c>
      <c r="K555" s="1" t="s">
        <v>66</v>
      </c>
      <c r="L555" s="1" t="s">
        <v>37</v>
      </c>
      <c r="M555" s="6">
        <v>46261.625</v>
      </c>
      <c r="N555" s="6">
        <v>46261.856944444444</v>
      </c>
      <c r="O555" s="1">
        <v>0</v>
      </c>
      <c r="P555" s="1">
        <v>3</v>
      </c>
      <c r="Q555" s="5">
        <f t="shared" si="56"/>
        <v>1</v>
      </c>
      <c r="R555" s="5">
        <f t="shared" si="57"/>
        <v>0</v>
      </c>
      <c r="S555" s="5">
        <f t="shared" si="58"/>
        <v>1</v>
      </c>
      <c r="T555" s="5">
        <f t="shared" si="59"/>
        <v>1</v>
      </c>
      <c r="U555" s="5">
        <f t="shared" si="60"/>
        <v>0</v>
      </c>
      <c r="V555" s="5" t="str">
        <f t="shared" si="61"/>
        <v>完工超时</v>
      </c>
      <c r="W555" s="5">
        <f t="shared" si="62"/>
        <v>1</v>
      </c>
    </row>
    <row r="556" spans="1:23" ht="17.25" customHeight="1">
      <c r="A556" s="1" t="s">
        <v>622</v>
      </c>
      <c r="B556" s="1" t="s">
        <v>20</v>
      </c>
      <c r="C556" s="1" t="s">
        <v>24</v>
      </c>
      <c r="D556" s="1" t="s">
        <v>27</v>
      </c>
      <c r="E556" s="6">
        <v>46260.607638888891</v>
      </c>
      <c r="F556" s="6">
        <v>46260.736111111109</v>
      </c>
      <c r="G556" s="6">
        <v>46262.5</v>
      </c>
      <c r="H556" s="6">
        <v>46262.472916666666</v>
      </c>
      <c r="I556" s="6">
        <v>46262.666666666664</v>
      </c>
      <c r="J556" s="6">
        <v>46262.538888888892</v>
      </c>
      <c r="K556" s="1" t="s">
        <v>66</v>
      </c>
      <c r="L556" s="1" t="s">
        <v>34</v>
      </c>
      <c r="M556" s="6"/>
      <c r="N556" s="6"/>
      <c r="O556" s="1">
        <v>0</v>
      </c>
      <c r="P556" s="1">
        <v>5</v>
      </c>
      <c r="Q556" s="5">
        <f t="shared" si="56"/>
        <v>1</v>
      </c>
      <c r="R556" s="5">
        <f t="shared" si="57"/>
        <v>1</v>
      </c>
      <c r="S556" s="5">
        <f t="shared" si="58"/>
        <v>0</v>
      </c>
      <c r="T556" s="5">
        <f t="shared" si="59"/>
        <v>0</v>
      </c>
      <c r="U556" s="5">
        <f t="shared" si="60"/>
        <v>0</v>
      </c>
      <c r="V556" s="5" t="str">
        <f t="shared" si="61"/>
        <v>无</v>
      </c>
      <c r="W556" s="5">
        <f t="shared" si="62"/>
        <v>1</v>
      </c>
    </row>
    <row r="557" spans="1:23" ht="17.25" customHeight="1">
      <c r="A557" s="1" t="s">
        <v>623</v>
      </c>
      <c r="B557" s="1" t="s">
        <v>21</v>
      </c>
      <c r="C557" s="1" t="s">
        <v>26</v>
      </c>
      <c r="D557" s="1" t="s">
        <v>30</v>
      </c>
      <c r="E557" s="6">
        <v>46260.625</v>
      </c>
      <c r="F557" s="6">
        <v>46260.752083333333</v>
      </c>
      <c r="G557" s="6">
        <v>46261.708333333336</v>
      </c>
      <c r="H557" s="6"/>
      <c r="I557" s="6">
        <v>46261.833333333336</v>
      </c>
      <c r="J557" s="6"/>
      <c r="K557" s="1" t="s">
        <v>73</v>
      </c>
      <c r="L557" s="1" t="s">
        <v>36</v>
      </c>
      <c r="M557" s="6">
        <v>46261.708333333336</v>
      </c>
      <c r="N557" s="6"/>
      <c r="O557" s="1">
        <v>1</v>
      </c>
      <c r="P557" s="1"/>
      <c r="Q557" s="5">
        <f t="shared" si="56"/>
        <v>0</v>
      </c>
      <c r="R557" s="5">
        <f t="shared" si="57"/>
        <v>0</v>
      </c>
      <c r="S557" s="5">
        <f t="shared" si="58"/>
        <v>1</v>
      </c>
      <c r="T557" s="5">
        <f t="shared" si="59"/>
        <v>0</v>
      </c>
      <c r="U557" s="5">
        <f t="shared" si="60"/>
        <v>1</v>
      </c>
      <c r="V557" s="5" t="str">
        <f t="shared" si="61"/>
        <v>上门超时</v>
      </c>
      <c r="W557" s="5">
        <f t="shared" si="62"/>
        <v>1</v>
      </c>
    </row>
    <row r="558" spans="1:23" ht="17.25" customHeight="1">
      <c r="A558" s="1" t="s">
        <v>624</v>
      </c>
      <c r="B558" s="1" t="s">
        <v>20</v>
      </c>
      <c r="C558" s="1" t="s">
        <v>26</v>
      </c>
      <c r="D558" s="1" t="s">
        <v>27</v>
      </c>
      <c r="E558" s="6">
        <v>46260.663194444445</v>
      </c>
      <c r="F558" s="6">
        <v>46260.776388888888</v>
      </c>
      <c r="G558" s="6">
        <v>46261.625</v>
      </c>
      <c r="H558" s="6">
        <v>46261.589583333334</v>
      </c>
      <c r="I558" s="6">
        <v>46261.75</v>
      </c>
      <c r="J558" s="6">
        <v>46261.679166666669</v>
      </c>
      <c r="K558" s="1" t="s">
        <v>66</v>
      </c>
      <c r="L558" s="1" t="s">
        <v>34</v>
      </c>
      <c r="M558" s="6"/>
      <c r="N558" s="6"/>
      <c r="O558" s="1">
        <v>0</v>
      </c>
      <c r="P558" s="1">
        <v>5</v>
      </c>
      <c r="Q558" s="5">
        <f t="shared" si="56"/>
        <v>1</v>
      </c>
      <c r="R558" s="5">
        <f t="shared" si="57"/>
        <v>1</v>
      </c>
      <c r="S558" s="5">
        <f t="shared" si="58"/>
        <v>0</v>
      </c>
      <c r="T558" s="5">
        <f t="shared" si="59"/>
        <v>0</v>
      </c>
      <c r="U558" s="5">
        <f t="shared" si="60"/>
        <v>0</v>
      </c>
      <c r="V558" s="5" t="str">
        <f t="shared" si="61"/>
        <v>无</v>
      </c>
      <c r="W558" s="5">
        <f t="shared" si="62"/>
        <v>1</v>
      </c>
    </row>
    <row r="559" spans="1:23" ht="17.25" customHeight="1">
      <c r="A559" s="1" t="s">
        <v>625</v>
      </c>
      <c r="B559" s="1" t="s">
        <v>20</v>
      </c>
      <c r="C559" s="1" t="s">
        <v>25</v>
      </c>
      <c r="D559" s="1" t="s">
        <v>28</v>
      </c>
      <c r="E559" s="6">
        <v>46260.677083333336</v>
      </c>
      <c r="F559" s="6">
        <v>46260.729861111111</v>
      </c>
      <c r="G559" s="6">
        <v>46261.708333333336</v>
      </c>
      <c r="H559" s="6">
        <v>46261.664583333331</v>
      </c>
      <c r="I559" s="6">
        <v>46261.916666666664</v>
      </c>
      <c r="J559" s="6">
        <v>46261.731249999997</v>
      </c>
      <c r="K559" s="1" t="s">
        <v>66</v>
      </c>
      <c r="L559" s="1" t="s">
        <v>34</v>
      </c>
      <c r="M559" s="6"/>
      <c r="N559" s="6"/>
      <c r="O559" s="1">
        <v>0</v>
      </c>
      <c r="P559" s="1">
        <v>5</v>
      </c>
      <c r="Q559" s="5">
        <f t="shared" si="56"/>
        <v>1</v>
      </c>
      <c r="R559" s="5">
        <f t="shared" si="57"/>
        <v>1</v>
      </c>
      <c r="S559" s="5">
        <f t="shared" si="58"/>
        <v>0</v>
      </c>
      <c r="T559" s="5">
        <f t="shared" si="59"/>
        <v>0</v>
      </c>
      <c r="U559" s="5">
        <f t="shared" si="60"/>
        <v>0</v>
      </c>
      <c r="V559" s="5" t="str">
        <f t="shared" si="61"/>
        <v>无</v>
      </c>
      <c r="W559" s="5">
        <f t="shared" si="62"/>
        <v>1</v>
      </c>
    </row>
    <row r="560" spans="1:23" ht="17.25" customHeight="1">
      <c r="A560" s="1" t="s">
        <v>626</v>
      </c>
      <c r="B560" s="1" t="s">
        <v>21</v>
      </c>
      <c r="C560" s="1" t="s">
        <v>25</v>
      </c>
      <c r="D560" s="1" t="s">
        <v>30</v>
      </c>
      <c r="E560" s="6">
        <v>46260.715277777781</v>
      </c>
      <c r="F560" s="6">
        <v>46260.835416666669</v>
      </c>
      <c r="G560" s="6">
        <v>46263.5</v>
      </c>
      <c r="H560" s="6">
        <v>46263.513194444444</v>
      </c>
      <c r="I560" s="6">
        <v>46263.708333333336</v>
      </c>
      <c r="J560" s="6">
        <v>46263.561805555553</v>
      </c>
      <c r="K560" s="1" t="s">
        <v>66</v>
      </c>
      <c r="L560" s="1" t="s">
        <v>36</v>
      </c>
      <c r="M560" s="6">
        <v>46263.5</v>
      </c>
      <c r="N560" s="6">
        <v>46263.700694444444</v>
      </c>
      <c r="O560" s="1">
        <v>0</v>
      </c>
      <c r="P560" s="1"/>
      <c r="Q560" s="5">
        <f t="shared" si="56"/>
        <v>0</v>
      </c>
      <c r="R560" s="5">
        <f t="shared" si="57"/>
        <v>1</v>
      </c>
      <c r="S560" s="5">
        <f t="shared" si="58"/>
        <v>1</v>
      </c>
      <c r="T560" s="5">
        <f t="shared" si="59"/>
        <v>1</v>
      </c>
      <c r="U560" s="5">
        <f t="shared" si="60"/>
        <v>0</v>
      </c>
      <c r="V560" s="5" t="str">
        <f t="shared" si="61"/>
        <v>上门超时</v>
      </c>
      <c r="W560" s="5">
        <f t="shared" si="62"/>
        <v>1</v>
      </c>
    </row>
    <row r="561" spans="1:23" ht="17.25" customHeight="1">
      <c r="A561" s="1" t="s">
        <v>627</v>
      </c>
      <c r="B561" s="1" t="s">
        <v>20</v>
      </c>
      <c r="C561" s="1" t="s">
        <v>26</v>
      </c>
      <c r="D561" s="1" t="s">
        <v>27</v>
      </c>
      <c r="E561" s="6">
        <v>46260.743055555555</v>
      </c>
      <c r="F561" s="6">
        <v>46260.88958333333</v>
      </c>
      <c r="G561" s="6">
        <v>46261.708333333336</v>
      </c>
      <c r="H561" s="6">
        <v>46261.694444444445</v>
      </c>
      <c r="I561" s="6">
        <v>46261.833333333336</v>
      </c>
      <c r="J561" s="6">
        <v>46261.745833333334</v>
      </c>
      <c r="K561" s="1" t="s">
        <v>66</v>
      </c>
      <c r="L561" s="1" t="s">
        <v>34</v>
      </c>
      <c r="M561" s="6"/>
      <c r="N561" s="6"/>
      <c r="O561" s="1">
        <v>0</v>
      </c>
      <c r="P561" s="1">
        <v>5</v>
      </c>
      <c r="Q561" s="5">
        <f t="shared" si="56"/>
        <v>1</v>
      </c>
      <c r="R561" s="5">
        <f t="shared" si="57"/>
        <v>1</v>
      </c>
      <c r="S561" s="5">
        <f t="shared" si="58"/>
        <v>0</v>
      </c>
      <c r="T561" s="5">
        <f t="shared" si="59"/>
        <v>0</v>
      </c>
      <c r="U561" s="5">
        <f t="shared" si="60"/>
        <v>0</v>
      </c>
      <c r="V561" s="5" t="str">
        <f t="shared" si="61"/>
        <v>无</v>
      </c>
      <c r="W561" s="5">
        <f t="shared" si="62"/>
        <v>1</v>
      </c>
    </row>
    <row r="562" spans="1:23" ht="17.25" customHeight="1">
      <c r="A562" s="1" t="s">
        <v>628</v>
      </c>
      <c r="B562" s="1" t="s">
        <v>20</v>
      </c>
      <c r="C562" s="1" t="s">
        <v>25</v>
      </c>
      <c r="D562" s="1" t="s">
        <v>27</v>
      </c>
      <c r="E562" s="6">
        <v>46261.350694444445</v>
      </c>
      <c r="F562" s="6">
        <v>46261.490972222222</v>
      </c>
      <c r="G562" s="6">
        <v>46262.708333333336</v>
      </c>
      <c r="H562" s="6">
        <v>46262.700694444444</v>
      </c>
      <c r="I562" s="6">
        <v>46262.916666666664</v>
      </c>
      <c r="J562" s="6">
        <v>46262.742361111108</v>
      </c>
      <c r="K562" s="1" t="s">
        <v>66</v>
      </c>
      <c r="L562" s="1" t="s">
        <v>34</v>
      </c>
      <c r="M562" s="6"/>
      <c r="N562" s="6"/>
      <c r="O562" s="1">
        <v>0</v>
      </c>
      <c r="P562" s="1">
        <v>5</v>
      </c>
      <c r="Q562" s="5">
        <f t="shared" si="56"/>
        <v>1</v>
      </c>
      <c r="R562" s="5">
        <f t="shared" si="57"/>
        <v>1</v>
      </c>
      <c r="S562" s="5">
        <f t="shared" si="58"/>
        <v>0</v>
      </c>
      <c r="T562" s="5">
        <f t="shared" si="59"/>
        <v>0</v>
      </c>
      <c r="U562" s="5">
        <f t="shared" si="60"/>
        <v>0</v>
      </c>
      <c r="V562" s="5" t="str">
        <f t="shared" si="61"/>
        <v>无</v>
      </c>
      <c r="W562" s="5">
        <f t="shared" si="62"/>
        <v>1</v>
      </c>
    </row>
    <row r="563" spans="1:23" ht="17.25" customHeight="1">
      <c r="A563" s="1" t="s">
        <v>629</v>
      </c>
      <c r="B563" s="1" t="s">
        <v>20</v>
      </c>
      <c r="C563" s="1" t="s">
        <v>24</v>
      </c>
      <c r="D563" s="1" t="s">
        <v>28</v>
      </c>
      <c r="E563" s="6">
        <v>46261.447916666664</v>
      </c>
      <c r="F563" s="6">
        <v>46261.51458333333</v>
      </c>
      <c r="G563" s="6">
        <v>46262.416666666664</v>
      </c>
      <c r="H563" s="6">
        <v>46262.456944444442</v>
      </c>
      <c r="I563" s="6">
        <v>46262.583333333336</v>
      </c>
      <c r="J563" s="6">
        <v>46262.543055555558</v>
      </c>
      <c r="K563" s="1" t="s">
        <v>66</v>
      </c>
      <c r="L563" s="1" t="s">
        <v>36</v>
      </c>
      <c r="M563" s="6">
        <v>46262.416666666664</v>
      </c>
      <c r="N563" s="6">
        <v>46262.73333333333</v>
      </c>
      <c r="O563" s="1">
        <v>0</v>
      </c>
      <c r="P563" s="1">
        <v>4</v>
      </c>
      <c r="Q563" s="5">
        <f t="shared" si="56"/>
        <v>0</v>
      </c>
      <c r="R563" s="5">
        <f t="shared" si="57"/>
        <v>1</v>
      </c>
      <c r="S563" s="5">
        <f t="shared" si="58"/>
        <v>1</v>
      </c>
      <c r="T563" s="5">
        <f t="shared" si="59"/>
        <v>1</v>
      </c>
      <c r="U563" s="5">
        <f t="shared" si="60"/>
        <v>0</v>
      </c>
      <c r="V563" s="5" t="str">
        <f t="shared" si="61"/>
        <v>上门超时</v>
      </c>
      <c r="W563" s="5">
        <f t="shared" si="62"/>
        <v>1</v>
      </c>
    </row>
    <row r="564" spans="1:23" ht="17.25" customHeight="1">
      <c r="A564" s="1" t="s">
        <v>630</v>
      </c>
      <c r="B564" s="1" t="s">
        <v>20</v>
      </c>
      <c r="C564" s="1" t="s">
        <v>25</v>
      </c>
      <c r="D564" s="1" t="s">
        <v>28</v>
      </c>
      <c r="E564" s="6">
        <v>46261.447916666664</v>
      </c>
      <c r="F564" s="6">
        <v>46261.484027777777</v>
      </c>
      <c r="G564" s="6">
        <v>46264.416666666664</v>
      </c>
      <c r="H564" s="6">
        <v>46264.396527777775</v>
      </c>
      <c r="I564" s="6">
        <v>46264.625</v>
      </c>
      <c r="J564" s="6">
        <v>46264.443055555559</v>
      </c>
      <c r="K564" s="1" t="s">
        <v>66</v>
      </c>
      <c r="L564" s="1" t="s">
        <v>34</v>
      </c>
      <c r="M564" s="6"/>
      <c r="N564" s="6"/>
      <c r="O564" s="1">
        <v>0</v>
      </c>
      <c r="P564" s="1">
        <v>5</v>
      </c>
      <c r="Q564" s="5">
        <f t="shared" si="56"/>
        <v>1</v>
      </c>
      <c r="R564" s="5">
        <f t="shared" si="57"/>
        <v>1</v>
      </c>
      <c r="S564" s="5">
        <f t="shared" si="58"/>
        <v>0</v>
      </c>
      <c r="T564" s="5">
        <f t="shared" si="59"/>
        <v>0</v>
      </c>
      <c r="U564" s="5">
        <f t="shared" si="60"/>
        <v>0</v>
      </c>
      <c r="V564" s="5" t="str">
        <f t="shared" si="61"/>
        <v>无</v>
      </c>
      <c r="W564" s="5">
        <f t="shared" si="62"/>
        <v>1</v>
      </c>
    </row>
    <row r="565" spans="1:23" ht="17.25" customHeight="1">
      <c r="A565" s="1" t="s">
        <v>631</v>
      </c>
      <c r="B565" s="1" t="s">
        <v>21</v>
      </c>
      <c r="C565" s="1" t="s">
        <v>24</v>
      </c>
      <c r="D565" s="1" t="s">
        <v>30</v>
      </c>
      <c r="E565" s="6">
        <v>46261.447916666664</v>
      </c>
      <c r="F565" s="6">
        <v>46261.586111111108</v>
      </c>
      <c r="G565" s="6">
        <v>46262.625</v>
      </c>
      <c r="H565" s="6">
        <v>46262.591666666667</v>
      </c>
      <c r="I565" s="6">
        <v>46262.791666666664</v>
      </c>
      <c r="J565" s="6">
        <v>46262.654861111114</v>
      </c>
      <c r="K565" s="1" t="s">
        <v>66</v>
      </c>
      <c r="L565" s="1" t="s">
        <v>34</v>
      </c>
      <c r="M565" s="6"/>
      <c r="N565" s="6"/>
      <c r="O565" s="1">
        <v>0</v>
      </c>
      <c r="P565" s="1"/>
      <c r="Q565" s="5">
        <f t="shared" si="56"/>
        <v>1</v>
      </c>
      <c r="R565" s="5">
        <f t="shared" si="57"/>
        <v>1</v>
      </c>
      <c r="S565" s="5">
        <f t="shared" si="58"/>
        <v>0</v>
      </c>
      <c r="T565" s="5">
        <f t="shared" si="59"/>
        <v>0</v>
      </c>
      <c r="U565" s="5">
        <f t="shared" si="60"/>
        <v>0</v>
      </c>
      <c r="V565" s="5" t="str">
        <f t="shared" si="61"/>
        <v>无</v>
      </c>
      <c r="W565" s="5">
        <f t="shared" si="62"/>
        <v>1</v>
      </c>
    </row>
    <row r="566" spans="1:23" ht="17.25" customHeight="1">
      <c r="A566" s="1" t="s">
        <v>632</v>
      </c>
      <c r="B566" s="1" t="s">
        <v>20</v>
      </c>
      <c r="C566" s="1" t="s">
        <v>24</v>
      </c>
      <c r="D566" s="1" t="s">
        <v>28</v>
      </c>
      <c r="E566" s="6">
        <v>46261.5</v>
      </c>
      <c r="F566" s="6">
        <v>46261.555555555555</v>
      </c>
      <c r="G566" s="6">
        <v>46263.5</v>
      </c>
      <c r="H566" s="6">
        <v>46263.48333333333</v>
      </c>
      <c r="I566" s="6">
        <v>46263.666666666664</v>
      </c>
      <c r="J566" s="6"/>
      <c r="K566" s="1" t="s">
        <v>73</v>
      </c>
      <c r="L566" s="1" t="s">
        <v>37</v>
      </c>
      <c r="M566" s="6">
        <v>46263.666666666664</v>
      </c>
      <c r="N566" s="6"/>
      <c r="O566" s="1">
        <v>1</v>
      </c>
      <c r="P566" s="1"/>
      <c r="Q566" s="5">
        <f t="shared" si="56"/>
        <v>1</v>
      </c>
      <c r="R566" s="5">
        <f t="shared" si="57"/>
        <v>0</v>
      </c>
      <c r="S566" s="5">
        <f t="shared" si="58"/>
        <v>1</v>
      </c>
      <c r="T566" s="5">
        <f t="shared" si="59"/>
        <v>0</v>
      </c>
      <c r="U566" s="5">
        <f t="shared" si="60"/>
        <v>1</v>
      </c>
      <c r="V566" s="5" t="str">
        <f t="shared" si="61"/>
        <v>完工超时</v>
      </c>
      <c r="W566" s="5">
        <f t="shared" si="62"/>
        <v>1</v>
      </c>
    </row>
    <row r="567" spans="1:23" ht="17.25" customHeight="1">
      <c r="A567" s="1" t="s">
        <v>633</v>
      </c>
      <c r="B567" s="1" t="s">
        <v>21</v>
      </c>
      <c r="C567" s="1" t="s">
        <v>25</v>
      </c>
      <c r="D567" s="1" t="s">
        <v>30</v>
      </c>
      <c r="E567" s="6">
        <v>46261.538194444445</v>
      </c>
      <c r="F567" s="6">
        <v>46261.574305555558</v>
      </c>
      <c r="G567" s="6">
        <v>46263.625</v>
      </c>
      <c r="H567" s="6">
        <v>46263.592361111114</v>
      </c>
      <c r="I567" s="6">
        <v>46263.833333333336</v>
      </c>
      <c r="J567" s="6">
        <v>46263.627083333333</v>
      </c>
      <c r="K567" s="1" t="s">
        <v>66</v>
      </c>
      <c r="L567" s="1" t="s">
        <v>34</v>
      </c>
      <c r="M567" s="6"/>
      <c r="N567" s="6"/>
      <c r="O567" s="1">
        <v>0</v>
      </c>
      <c r="P567" s="1">
        <v>4</v>
      </c>
      <c r="Q567" s="5">
        <f t="shared" si="56"/>
        <v>1</v>
      </c>
      <c r="R567" s="5">
        <f t="shared" si="57"/>
        <v>1</v>
      </c>
      <c r="S567" s="5">
        <f t="shared" si="58"/>
        <v>0</v>
      </c>
      <c r="T567" s="5">
        <f t="shared" si="59"/>
        <v>0</v>
      </c>
      <c r="U567" s="5">
        <f t="shared" si="60"/>
        <v>0</v>
      </c>
      <c r="V567" s="5" t="str">
        <f t="shared" si="61"/>
        <v>无</v>
      </c>
      <c r="W567" s="5">
        <f t="shared" si="62"/>
        <v>1</v>
      </c>
    </row>
    <row r="568" spans="1:23" ht="17.25" customHeight="1">
      <c r="A568" s="1" t="s">
        <v>634</v>
      </c>
      <c r="B568" s="1" t="s">
        <v>20</v>
      </c>
      <c r="C568" s="1" t="s">
        <v>25</v>
      </c>
      <c r="D568" s="1" t="s">
        <v>27</v>
      </c>
      <c r="E568" s="6">
        <v>46261.541666666664</v>
      </c>
      <c r="F568" s="6">
        <v>46261.618750000001</v>
      </c>
      <c r="G568" s="6">
        <v>46263.625</v>
      </c>
      <c r="H568" s="6">
        <v>46263.663888888892</v>
      </c>
      <c r="I568" s="6">
        <v>46263.833333333336</v>
      </c>
      <c r="J568" s="6">
        <v>46263.736111111109</v>
      </c>
      <c r="K568" s="1" t="s">
        <v>66</v>
      </c>
      <c r="L568" s="1" t="s">
        <v>36</v>
      </c>
      <c r="M568" s="6">
        <v>46263.625</v>
      </c>
      <c r="N568" s="6"/>
      <c r="O568" s="1">
        <v>0</v>
      </c>
      <c r="P568" s="1">
        <v>3</v>
      </c>
      <c r="Q568" s="5">
        <f t="shared" si="56"/>
        <v>0</v>
      </c>
      <c r="R568" s="5">
        <f t="shared" si="57"/>
        <v>1</v>
      </c>
      <c r="S568" s="5">
        <f t="shared" si="58"/>
        <v>1</v>
      </c>
      <c r="T568" s="5">
        <f t="shared" si="59"/>
        <v>0</v>
      </c>
      <c r="U568" s="5">
        <f t="shared" si="60"/>
        <v>1</v>
      </c>
      <c r="V568" s="5" t="str">
        <f t="shared" si="61"/>
        <v>上门超时</v>
      </c>
      <c r="W568" s="5">
        <f t="shared" si="62"/>
        <v>1</v>
      </c>
    </row>
    <row r="569" spans="1:23" ht="17.25" customHeight="1">
      <c r="A569" s="1" t="s">
        <v>635</v>
      </c>
      <c r="B569" s="1" t="s">
        <v>22</v>
      </c>
      <c r="C569" s="1" t="s">
        <v>24</v>
      </c>
      <c r="D569" s="1" t="s">
        <v>32</v>
      </c>
      <c r="E569" s="6">
        <v>46261.555555555555</v>
      </c>
      <c r="F569" s="6">
        <v>46261.654166666667</v>
      </c>
      <c r="G569" s="6">
        <v>46263.416666666664</v>
      </c>
      <c r="H569" s="6">
        <v>46263.409722222219</v>
      </c>
      <c r="I569" s="6">
        <v>46263.583333333336</v>
      </c>
      <c r="J569" s="6">
        <v>46263.484027777777</v>
      </c>
      <c r="K569" s="1" t="s">
        <v>66</v>
      </c>
      <c r="L569" s="1" t="s">
        <v>34</v>
      </c>
      <c r="M569" s="6"/>
      <c r="N569" s="6"/>
      <c r="O569" s="1">
        <v>0</v>
      </c>
      <c r="P569" s="1">
        <v>4</v>
      </c>
      <c r="Q569" s="5">
        <f t="shared" si="56"/>
        <v>1</v>
      </c>
      <c r="R569" s="5">
        <f t="shared" si="57"/>
        <v>1</v>
      </c>
      <c r="S569" s="5">
        <f t="shared" si="58"/>
        <v>0</v>
      </c>
      <c r="T569" s="5">
        <f t="shared" si="59"/>
        <v>0</v>
      </c>
      <c r="U569" s="5">
        <f t="shared" si="60"/>
        <v>0</v>
      </c>
      <c r="V569" s="5" t="str">
        <f t="shared" si="61"/>
        <v>无</v>
      </c>
      <c r="W569" s="5">
        <f t="shared" si="62"/>
        <v>1</v>
      </c>
    </row>
    <row r="570" spans="1:23" ht="17.25" customHeight="1">
      <c r="A570" s="1" t="s">
        <v>636</v>
      </c>
      <c r="B570" s="1" t="s">
        <v>20</v>
      </c>
      <c r="C570" s="1" t="s">
        <v>24</v>
      </c>
      <c r="D570" s="1" t="s">
        <v>27</v>
      </c>
      <c r="E570" s="6">
        <v>46261.559027777781</v>
      </c>
      <c r="F570" s="6">
        <v>46261.643055555556</v>
      </c>
      <c r="G570" s="6">
        <v>46262.5</v>
      </c>
      <c r="H570" s="6">
        <v>46262.484722222223</v>
      </c>
      <c r="I570" s="6">
        <v>46262.666666666664</v>
      </c>
      <c r="J570" s="6">
        <v>46262.570138888892</v>
      </c>
      <c r="K570" s="1" t="s">
        <v>66</v>
      </c>
      <c r="L570" s="1" t="s">
        <v>34</v>
      </c>
      <c r="M570" s="6"/>
      <c r="N570" s="6"/>
      <c r="O570" s="1">
        <v>0</v>
      </c>
      <c r="P570" s="1">
        <v>5</v>
      </c>
      <c r="Q570" s="5">
        <f t="shared" si="56"/>
        <v>1</v>
      </c>
      <c r="R570" s="5">
        <f t="shared" si="57"/>
        <v>1</v>
      </c>
      <c r="S570" s="5">
        <f t="shared" si="58"/>
        <v>0</v>
      </c>
      <c r="T570" s="5">
        <f t="shared" si="59"/>
        <v>0</v>
      </c>
      <c r="U570" s="5">
        <f t="shared" si="60"/>
        <v>0</v>
      </c>
      <c r="V570" s="5" t="str">
        <f t="shared" si="61"/>
        <v>无</v>
      </c>
      <c r="W570" s="5">
        <f t="shared" si="62"/>
        <v>1</v>
      </c>
    </row>
    <row r="571" spans="1:23" ht="17.25" customHeight="1">
      <c r="A571" s="1" t="s">
        <v>637</v>
      </c>
      <c r="B571" s="1" t="s">
        <v>20</v>
      </c>
      <c r="C571" s="1" t="s">
        <v>24</v>
      </c>
      <c r="D571" s="1" t="s">
        <v>28</v>
      </c>
      <c r="E571" s="6">
        <v>46261.5625</v>
      </c>
      <c r="F571" s="6">
        <v>46261.725694444445</v>
      </c>
      <c r="G571" s="6">
        <v>46262.625</v>
      </c>
      <c r="H571" s="6">
        <v>46262.614583333336</v>
      </c>
      <c r="I571" s="6">
        <v>46262.791666666664</v>
      </c>
      <c r="J571" s="6">
        <v>46262.69027777778</v>
      </c>
      <c r="K571" s="1" t="s">
        <v>66</v>
      </c>
      <c r="L571" s="1" t="s">
        <v>34</v>
      </c>
      <c r="M571" s="6"/>
      <c r="N571" s="6"/>
      <c r="O571" s="1">
        <v>0</v>
      </c>
      <c r="P571" s="1">
        <v>4</v>
      </c>
      <c r="Q571" s="5">
        <f t="shared" si="56"/>
        <v>1</v>
      </c>
      <c r="R571" s="5">
        <f t="shared" si="57"/>
        <v>1</v>
      </c>
      <c r="S571" s="5">
        <f t="shared" si="58"/>
        <v>0</v>
      </c>
      <c r="T571" s="5">
        <f t="shared" si="59"/>
        <v>0</v>
      </c>
      <c r="U571" s="5">
        <f t="shared" si="60"/>
        <v>0</v>
      </c>
      <c r="V571" s="5" t="str">
        <f t="shared" si="61"/>
        <v>无</v>
      </c>
      <c r="W571" s="5">
        <f t="shared" si="62"/>
        <v>1</v>
      </c>
    </row>
    <row r="572" spans="1:23" ht="17.25" customHeight="1">
      <c r="A572" s="1" t="s">
        <v>638</v>
      </c>
      <c r="B572" s="1" t="s">
        <v>20</v>
      </c>
      <c r="C572" s="1" t="s">
        <v>25</v>
      </c>
      <c r="D572" s="1" t="s">
        <v>27</v>
      </c>
      <c r="E572" s="6">
        <v>46261.586805555555</v>
      </c>
      <c r="F572" s="6">
        <v>46261.637499999997</v>
      </c>
      <c r="G572" s="6">
        <v>46263.708333333336</v>
      </c>
      <c r="H572" s="6">
        <v>46263.673611111109</v>
      </c>
      <c r="I572" s="6">
        <v>46263.916666666664</v>
      </c>
      <c r="J572" s="6">
        <v>46263.757638888892</v>
      </c>
      <c r="K572" s="1" t="s">
        <v>66</v>
      </c>
      <c r="L572" s="1" t="s">
        <v>34</v>
      </c>
      <c r="M572" s="6"/>
      <c r="N572" s="6"/>
      <c r="O572" s="1">
        <v>0</v>
      </c>
      <c r="P572" s="1">
        <v>3</v>
      </c>
      <c r="Q572" s="5">
        <f t="shared" si="56"/>
        <v>1</v>
      </c>
      <c r="R572" s="5">
        <f t="shared" si="57"/>
        <v>1</v>
      </c>
      <c r="S572" s="5">
        <f t="shared" si="58"/>
        <v>0</v>
      </c>
      <c r="T572" s="5">
        <f t="shared" si="59"/>
        <v>0</v>
      </c>
      <c r="U572" s="5">
        <f t="shared" si="60"/>
        <v>0</v>
      </c>
      <c r="V572" s="5" t="str">
        <f t="shared" si="61"/>
        <v>无</v>
      </c>
      <c r="W572" s="5">
        <f t="shared" si="62"/>
        <v>1</v>
      </c>
    </row>
    <row r="573" spans="1:23" ht="17.25" customHeight="1">
      <c r="A573" s="1" t="s">
        <v>639</v>
      </c>
      <c r="B573" s="1" t="s">
        <v>20</v>
      </c>
      <c r="C573" s="1" t="s">
        <v>25</v>
      </c>
      <c r="D573" s="1" t="s">
        <v>27</v>
      </c>
      <c r="E573" s="6">
        <v>46261.604166666664</v>
      </c>
      <c r="F573" s="6">
        <v>46261.683333333334</v>
      </c>
      <c r="G573" s="6">
        <v>46262.5</v>
      </c>
      <c r="H573" s="6">
        <v>46262.489583333336</v>
      </c>
      <c r="I573" s="6">
        <v>46262.708333333336</v>
      </c>
      <c r="J573" s="6">
        <v>46262.526388888888</v>
      </c>
      <c r="K573" s="1" t="s">
        <v>66</v>
      </c>
      <c r="L573" s="1" t="s">
        <v>34</v>
      </c>
      <c r="M573" s="6"/>
      <c r="N573" s="6"/>
      <c r="O573" s="1">
        <v>0</v>
      </c>
      <c r="P573" s="1"/>
      <c r="Q573" s="5">
        <f t="shared" si="56"/>
        <v>1</v>
      </c>
      <c r="R573" s="5">
        <f t="shared" si="57"/>
        <v>1</v>
      </c>
      <c r="S573" s="5">
        <f t="shared" si="58"/>
        <v>0</v>
      </c>
      <c r="T573" s="5">
        <f t="shared" si="59"/>
        <v>0</v>
      </c>
      <c r="U573" s="5">
        <f t="shared" si="60"/>
        <v>0</v>
      </c>
      <c r="V573" s="5" t="str">
        <f t="shared" si="61"/>
        <v>无</v>
      </c>
      <c r="W573" s="5">
        <f t="shared" si="62"/>
        <v>1</v>
      </c>
    </row>
    <row r="574" spans="1:23" ht="17.25" customHeight="1">
      <c r="A574" s="1" t="s">
        <v>640</v>
      </c>
      <c r="B574" s="1" t="s">
        <v>21</v>
      </c>
      <c r="C574" s="1" t="s">
        <v>26</v>
      </c>
      <c r="D574" s="1" t="s">
        <v>29</v>
      </c>
      <c r="E574" s="6">
        <v>46261.625</v>
      </c>
      <c r="F574" s="6">
        <v>46261.668055555558</v>
      </c>
      <c r="G574" s="6">
        <v>46262.416666666664</v>
      </c>
      <c r="H574" s="6">
        <v>46262.374305555553</v>
      </c>
      <c r="I574" s="6">
        <v>46262.541666666664</v>
      </c>
      <c r="J574" s="6">
        <v>46262.410416666666</v>
      </c>
      <c r="K574" s="1" t="s">
        <v>66</v>
      </c>
      <c r="L574" s="1" t="s">
        <v>34</v>
      </c>
      <c r="M574" s="6"/>
      <c r="N574" s="6"/>
      <c r="O574" s="1">
        <v>0</v>
      </c>
      <c r="P574" s="1">
        <v>5</v>
      </c>
      <c r="Q574" s="5">
        <f t="shared" si="56"/>
        <v>1</v>
      </c>
      <c r="R574" s="5">
        <f t="shared" si="57"/>
        <v>1</v>
      </c>
      <c r="S574" s="5">
        <f t="shared" si="58"/>
        <v>0</v>
      </c>
      <c r="T574" s="5">
        <f t="shared" si="59"/>
        <v>0</v>
      </c>
      <c r="U574" s="5">
        <f t="shared" si="60"/>
        <v>0</v>
      </c>
      <c r="V574" s="5" t="str">
        <f t="shared" si="61"/>
        <v>无</v>
      </c>
      <c r="W574" s="5">
        <f t="shared" si="62"/>
        <v>1</v>
      </c>
    </row>
    <row r="575" spans="1:23" ht="17.25" customHeight="1">
      <c r="A575" s="1" t="s">
        <v>641</v>
      </c>
      <c r="B575" s="1" t="s">
        <v>21</v>
      </c>
      <c r="C575" s="1" t="s">
        <v>26</v>
      </c>
      <c r="D575" s="1" t="s">
        <v>30</v>
      </c>
      <c r="E575" s="6">
        <v>46261.638888888891</v>
      </c>
      <c r="F575" s="6">
        <v>46261.791666666664</v>
      </c>
      <c r="G575" s="6">
        <v>46263.416666666664</v>
      </c>
      <c r="H575" s="6">
        <v>46263.387499999997</v>
      </c>
      <c r="I575" s="6">
        <v>46263.541666666664</v>
      </c>
      <c r="J575" s="6">
        <v>46263.45416666667</v>
      </c>
      <c r="K575" s="1" t="s">
        <v>66</v>
      </c>
      <c r="L575" s="1" t="s">
        <v>34</v>
      </c>
      <c r="M575" s="6"/>
      <c r="N575" s="6"/>
      <c r="O575" s="1">
        <v>0</v>
      </c>
      <c r="P575" s="1">
        <v>4</v>
      </c>
      <c r="Q575" s="5">
        <f t="shared" si="56"/>
        <v>1</v>
      </c>
      <c r="R575" s="5">
        <f t="shared" si="57"/>
        <v>1</v>
      </c>
      <c r="S575" s="5">
        <f t="shared" si="58"/>
        <v>0</v>
      </c>
      <c r="T575" s="5">
        <f t="shared" si="59"/>
        <v>0</v>
      </c>
      <c r="U575" s="5">
        <f t="shared" si="60"/>
        <v>0</v>
      </c>
      <c r="V575" s="5" t="str">
        <f t="shared" si="61"/>
        <v>无</v>
      </c>
      <c r="W575" s="5">
        <f t="shared" si="62"/>
        <v>1</v>
      </c>
    </row>
    <row r="576" spans="1:23" ht="17.25" customHeight="1">
      <c r="A576" s="1" t="s">
        <v>642</v>
      </c>
      <c r="B576" s="1" t="s">
        <v>21</v>
      </c>
      <c r="C576" s="1" t="s">
        <v>24</v>
      </c>
      <c r="D576" s="1" t="s">
        <v>29</v>
      </c>
      <c r="E576" s="6">
        <v>46261.642361111109</v>
      </c>
      <c r="F576" s="6">
        <v>46261.720138888886</v>
      </c>
      <c r="G576" s="6">
        <v>46263.625</v>
      </c>
      <c r="H576" s="6">
        <v>46263.584027777775</v>
      </c>
      <c r="I576" s="6">
        <v>46263.791666666664</v>
      </c>
      <c r="J576" s="6">
        <v>46263.655555555553</v>
      </c>
      <c r="K576" s="1" t="s">
        <v>66</v>
      </c>
      <c r="L576" s="1" t="s">
        <v>34</v>
      </c>
      <c r="M576" s="6"/>
      <c r="N576" s="6"/>
      <c r="O576" s="1">
        <v>0</v>
      </c>
      <c r="P576" s="1"/>
      <c r="Q576" s="5">
        <f t="shared" si="56"/>
        <v>1</v>
      </c>
      <c r="R576" s="5">
        <f t="shared" si="57"/>
        <v>1</v>
      </c>
      <c r="S576" s="5">
        <f t="shared" si="58"/>
        <v>0</v>
      </c>
      <c r="T576" s="5">
        <f t="shared" si="59"/>
        <v>0</v>
      </c>
      <c r="U576" s="5">
        <f t="shared" si="60"/>
        <v>0</v>
      </c>
      <c r="V576" s="5" t="str">
        <f t="shared" si="61"/>
        <v>无</v>
      </c>
      <c r="W576" s="5">
        <f t="shared" si="62"/>
        <v>1</v>
      </c>
    </row>
    <row r="577" spans="1:23" ht="17.25" customHeight="1">
      <c r="A577" s="1" t="s">
        <v>643</v>
      </c>
      <c r="B577" s="1" t="s">
        <v>21</v>
      </c>
      <c r="C577" s="1" t="s">
        <v>24</v>
      </c>
      <c r="D577" s="1" t="s">
        <v>30</v>
      </c>
      <c r="E577" s="6">
        <v>46261.663194444445</v>
      </c>
      <c r="F577" s="6">
        <v>46261.708333333336</v>
      </c>
      <c r="G577" s="6">
        <v>46262.5</v>
      </c>
      <c r="H577" s="6">
        <v>46262.53125</v>
      </c>
      <c r="I577" s="6">
        <v>46262.666666666664</v>
      </c>
      <c r="J577" s="6">
        <v>46262.629861111112</v>
      </c>
      <c r="K577" s="1" t="s">
        <v>66</v>
      </c>
      <c r="L577" s="1" t="s">
        <v>36</v>
      </c>
      <c r="M577" s="6">
        <v>46262.5</v>
      </c>
      <c r="N577" s="6">
        <v>46262.691666666666</v>
      </c>
      <c r="O577" s="1">
        <v>0</v>
      </c>
      <c r="P577" s="1">
        <v>2</v>
      </c>
      <c r="Q577" s="5">
        <f t="shared" si="56"/>
        <v>0</v>
      </c>
      <c r="R577" s="5">
        <f t="shared" si="57"/>
        <v>1</v>
      </c>
      <c r="S577" s="5">
        <f t="shared" si="58"/>
        <v>1</v>
      </c>
      <c r="T577" s="5">
        <f t="shared" si="59"/>
        <v>1</v>
      </c>
      <c r="U577" s="5">
        <f t="shared" si="60"/>
        <v>0</v>
      </c>
      <c r="V577" s="5" t="str">
        <f t="shared" si="61"/>
        <v>上门超时</v>
      </c>
      <c r="W577" s="5">
        <f t="shared" si="62"/>
        <v>1</v>
      </c>
    </row>
    <row r="578" spans="1:23" ht="17.25" customHeight="1">
      <c r="A578" s="1" t="s">
        <v>644</v>
      </c>
      <c r="B578" s="1" t="s">
        <v>21</v>
      </c>
      <c r="C578" s="1" t="s">
        <v>26</v>
      </c>
      <c r="D578" s="1" t="s">
        <v>30</v>
      </c>
      <c r="E578" s="6">
        <v>46261.666666666664</v>
      </c>
      <c r="F578" s="6">
        <v>46261.697222222225</v>
      </c>
      <c r="G578" s="6">
        <v>46262.625</v>
      </c>
      <c r="H578" s="6">
        <v>46262.586111111108</v>
      </c>
      <c r="I578" s="6">
        <v>46262.75</v>
      </c>
      <c r="J578" s="6">
        <v>46262.646527777775</v>
      </c>
      <c r="K578" s="1" t="s">
        <v>66</v>
      </c>
      <c r="L578" s="1" t="s">
        <v>34</v>
      </c>
      <c r="M578" s="6"/>
      <c r="N578" s="6"/>
      <c r="O578" s="1">
        <v>0</v>
      </c>
      <c r="P578" s="1"/>
      <c r="Q578" s="5">
        <f t="shared" ref="Q578:Q601" si="63">IF(AND(ISNUMBER(H578),H578&lt;=G578),1,0)</f>
        <v>1</v>
      </c>
      <c r="R578" s="5">
        <f t="shared" ref="R578:R601" si="64">IF(AND(ISNUMBER(J578),J578&lt;=I578),1,0)</f>
        <v>1</v>
      </c>
      <c r="S578" s="5">
        <f t="shared" ref="S578:S601" si="65">IF(V578="无",0,1)</f>
        <v>0</v>
      </c>
      <c r="T578" s="5">
        <f t="shared" ref="T578:T641" si="66">IF(AND(S578=1,ISNUMBER(N578)),1,0)</f>
        <v>0</v>
      </c>
      <c r="U578" s="5">
        <f t="shared" ref="U578:U641" si="67">IF(AND(S578=1,T578=0),1,0)</f>
        <v>0</v>
      </c>
      <c r="V578" s="5" t="str">
        <f t="shared" ref="V578:V601" si="68">IF(AND(ISNUMBER(F578),F578&lt;=G578),IF(AND(ISNUMBER(H578),H578&lt;=G578),IF(AND(ISNUMBER(J578),J578&lt;=I578),"无","完工超时"),"上门超时"),"派单超时")</f>
        <v>无</v>
      </c>
      <c r="W578" s="5">
        <f t="shared" ref="W578:W641" si="69">IF(L578=V578,1,0)</f>
        <v>1</v>
      </c>
    </row>
    <row r="579" spans="1:23" ht="17.25" customHeight="1">
      <c r="A579" s="1" t="s">
        <v>645</v>
      </c>
      <c r="B579" s="1" t="s">
        <v>21</v>
      </c>
      <c r="C579" s="1" t="s">
        <v>24</v>
      </c>
      <c r="D579" s="1" t="s">
        <v>30</v>
      </c>
      <c r="E579" s="6">
        <v>46261.694444444445</v>
      </c>
      <c r="F579" s="6">
        <v>46261.831250000003</v>
      </c>
      <c r="G579" s="6">
        <v>46262.5</v>
      </c>
      <c r="H579" s="6">
        <v>46262.481249999997</v>
      </c>
      <c r="I579" s="6">
        <v>46262.666666666664</v>
      </c>
      <c r="J579" s="6">
        <v>46262.535416666666</v>
      </c>
      <c r="K579" s="1" t="s">
        <v>66</v>
      </c>
      <c r="L579" s="1" t="s">
        <v>34</v>
      </c>
      <c r="M579" s="6"/>
      <c r="N579" s="6"/>
      <c r="O579" s="1">
        <v>0</v>
      </c>
      <c r="P579" s="1">
        <v>4</v>
      </c>
      <c r="Q579" s="5">
        <f t="shared" si="63"/>
        <v>1</v>
      </c>
      <c r="R579" s="5">
        <f t="shared" si="64"/>
        <v>1</v>
      </c>
      <c r="S579" s="5">
        <f t="shared" si="65"/>
        <v>0</v>
      </c>
      <c r="T579" s="5">
        <f t="shared" si="66"/>
        <v>0</v>
      </c>
      <c r="U579" s="5">
        <f t="shared" si="67"/>
        <v>0</v>
      </c>
      <c r="V579" s="5" t="str">
        <f t="shared" si="68"/>
        <v>无</v>
      </c>
      <c r="W579" s="5">
        <f t="shared" si="69"/>
        <v>1</v>
      </c>
    </row>
    <row r="580" spans="1:23" ht="17.25" customHeight="1">
      <c r="A580" s="1" t="s">
        <v>646</v>
      </c>
      <c r="B580" s="1" t="s">
        <v>20</v>
      </c>
      <c r="C580" s="1" t="s">
        <v>25</v>
      </c>
      <c r="D580" s="1" t="s">
        <v>27</v>
      </c>
      <c r="E580" s="6">
        <v>46261.722222222219</v>
      </c>
      <c r="F580" s="6">
        <v>46262.65625</v>
      </c>
      <c r="G580" s="6">
        <v>46262.625</v>
      </c>
      <c r="H580" s="6">
        <v>46262.723611111112</v>
      </c>
      <c r="I580" s="6">
        <v>46262.833333333336</v>
      </c>
      <c r="J580" s="6">
        <v>46262.820138888892</v>
      </c>
      <c r="K580" s="1" t="s">
        <v>66</v>
      </c>
      <c r="L580" s="1" t="s">
        <v>35</v>
      </c>
      <c r="M580" s="6">
        <v>46262.625</v>
      </c>
      <c r="N580" s="6"/>
      <c r="O580" s="1">
        <v>0</v>
      </c>
      <c r="P580" s="1">
        <v>5</v>
      </c>
      <c r="Q580" s="5">
        <f t="shared" si="63"/>
        <v>0</v>
      </c>
      <c r="R580" s="5">
        <f t="shared" si="64"/>
        <v>1</v>
      </c>
      <c r="S580" s="5">
        <f t="shared" si="65"/>
        <v>1</v>
      </c>
      <c r="T580" s="5">
        <f t="shared" si="66"/>
        <v>0</v>
      </c>
      <c r="U580" s="5">
        <f t="shared" si="67"/>
        <v>1</v>
      </c>
      <c r="V580" s="5" t="str">
        <f t="shared" si="68"/>
        <v>派单超时</v>
      </c>
      <c r="W580" s="5">
        <f t="shared" si="69"/>
        <v>1</v>
      </c>
    </row>
    <row r="581" spans="1:23" ht="17.25" customHeight="1">
      <c r="A581" s="1" t="s">
        <v>647</v>
      </c>
      <c r="B581" s="1" t="s">
        <v>20</v>
      </c>
      <c r="C581" s="1" t="s">
        <v>24</v>
      </c>
      <c r="D581" s="1" t="s">
        <v>28</v>
      </c>
      <c r="E581" s="6">
        <v>46261.760416666664</v>
      </c>
      <c r="F581" s="6">
        <v>46261.790277777778</v>
      </c>
      <c r="G581" s="6">
        <v>46262.5</v>
      </c>
      <c r="H581" s="6">
        <v>46262.455555555556</v>
      </c>
      <c r="I581" s="6">
        <v>46262.666666666664</v>
      </c>
      <c r="J581" s="6">
        <v>46262.509027777778</v>
      </c>
      <c r="K581" s="1" t="s">
        <v>66</v>
      </c>
      <c r="L581" s="1" t="s">
        <v>34</v>
      </c>
      <c r="M581" s="6"/>
      <c r="N581" s="6"/>
      <c r="O581" s="1">
        <v>0</v>
      </c>
      <c r="P581" s="1">
        <v>4</v>
      </c>
      <c r="Q581" s="5">
        <f t="shared" si="63"/>
        <v>1</v>
      </c>
      <c r="R581" s="5">
        <f t="shared" si="64"/>
        <v>1</v>
      </c>
      <c r="S581" s="5">
        <f t="shared" si="65"/>
        <v>0</v>
      </c>
      <c r="T581" s="5">
        <f t="shared" si="66"/>
        <v>0</v>
      </c>
      <c r="U581" s="5">
        <f t="shared" si="67"/>
        <v>0</v>
      </c>
      <c r="V581" s="5" t="str">
        <f t="shared" si="68"/>
        <v>无</v>
      </c>
      <c r="W581" s="5">
        <f t="shared" si="69"/>
        <v>1</v>
      </c>
    </row>
    <row r="582" spans="1:23" ht="17.25" customHeight="1">
      <c r="A582" s="1" t="s">
        <v>648</v>
      </c>
      <c r="B582" s="1" t="s">
        <v>21</v>
      </c>
      <c r="C582" s="1" t="s">
        <v>24</v>
      </c>
      <c r="D582" s="1" t="s">
        <v>30</v>
      </c>
      <c r="E582" s="6">
        <v>46261.767361111109</v>
      </c>
      <c r="F582" s="6">
        <v>46261.801388888889</v>
      </c>
      <c r="G582" s="6">
        <v>46264.5</v>
      </c>
      <c r="H582" s="6">
        <v>46264.484027777777</v>
      </c>
      <c r="I582" s="6">
        <v>46264.666666666664</v>
      </c>
      <c r="J582" s="6">
        <v>46264.542361111111</v>
      </c>
      <c r="K582" s="1" t="s">
        <v>66</v>
      </c>
      <c r="L582" s="1" t="s">
        <v>34</v>
      </c>
      <c r="M582" s="6"/>
      <c r="N582" s="6"/>
      <c r="O582" s="1">
        <v>0</v>
      </c>
      <c r="P582" s="1">
        <v>4</v>
      </c>
      <c r="Q582" s="5">
        <f t="shared" si="63"/>
        <v>1</v>
      </c>
      <c r="R582" s="5">
        <f t="shared" si="64"/>
        <v>1</v>
      </c>
      <c r="S582" s="5">
        <f t="shared" si="65"/>
        <v>0</v>
      </c>
      <c r="T582" s="5">
        <f t="shared" si="66"/>
        <v>0</v>
      </c>
      <c r="U582" s="5">
        <f t="shared" si="67"/>
        <v>0</v>
      </c>
      <c r="V582" s="5" t="str">
        <f t="shared" si="68"/>
        <v>无</v>
      </c>
      <c r="W582" s="5">
        <f t="shared" si="69"/>
        <v>1</v>
      </c>
    </row>
    <row r="583" spans="1:23" ht="17.25" customHeight="1">
      <c r="A583" s="1" t="s">
        <v>649</v>
      </c>
      <c r="B583" s="1" t="s">
        <v>20</v>
      </c>
      <c r="C583" s="1" t="s">
        <v>24</v>
      </c>
      <c r="D583" s="1" t="s">
        <v>28</v>
      </c>
      <c r="E583" s="6">
        <v>46261.788194444445</v>
      </c>
      <c r="F583" s="6">
        <v>46261.852083333331</v>
      </c>
      <c r="G583" s="6">
        <v>46262.625</v>
      </c>
      <c r="H583" s="6">
        <v>46262.64166666667</v>
      </c>
      <c r="I583" s="6">
        <v>46262.791666666664</v>
      </c>
      <c r="J583" s="6">
        <v>46262.680555555555</v>
      </c>
      <c r="K583" s="1" t="s">
        <v>66</v>
      </c>
      <c r="L583" s="1" t="s">
        <v>36</v>
      </c>
      <c r="M583" s="6">
        <v>46262.625</v>
      </c>
      <c r="N583" s="6">
        <v>46262.823611111111</v>
      </c>
      <c r="O583" s="1">
        <v>0</v>
      </c>
      <c r="P583" s="1">
        <v>3</v>
      </c>
      <c r="Q583" s="5">
        <f t="shared" si="63"/>
        <v>0</v>
      </c>
      <c r="R583" s="5">
        <f t="shared" si="64"/>
        <v>1</v>
      </c>
      <c r="S583" s="5">
        <f t="shared" si="65"/>
        <v>1</v>
      </c>
      <c r="T583" s="5">
        <f t="shared" si="66"/>
        <v>1</v>
      </c>
      <c r="U583" s="5">
        <f t="shared" si="67"/>
        <v>0</v>
      </c>
      <c r="V583" s="5" t="str">
        <f t="shared" si="68"/>
        <v>上门超时</v>
      </c>
      <c r="W583" s="5">
        <f t="shared" si="69"/>
        <v>1</v>
      </c>
    </row>
    <row r="584" spans="1:23" ht="17.25" customHeight="1">
      <c r="A584" s="1" t="s">
        <v>650</v>
      </c>
      <c r="B584" s="1" t="s">
        <v>20</v>
      </c>
      <c r="C584" s="1" t="s">
        <v>24</v>
      </c>
      <c r="D584" s="1" t="s">
        <v>27</v>
      </c>
      <c r="E584" s="6">
        <v>46262.34375</v>
      </c>
      <c r="F584" s="6">
        <v>46263.760416666664</v>
      </c>
      <c r="G584" s="6">
        <v>46263.708333333336</v>
      </c>
      <c r="H584" s="6">
        <v>46263.78125</v>
      </c>
      <c r="I584" s="6">
        <v>46263.875</v>
      </c>
      <c r="J584" s="6">
        <v>46263.877083333333</v>
      </c>
      <c r="K584" s="1" t="s">
        <v>66</v>
      </c>
      <c r="L584" s="1" t="s">
        <v>35</v>
      </c>
      <c r="M584" s="6">
        <v>46263.708333333336</v>
      </c>
      <c r="N584" s="6"/>
      <c r="O584" s="1">
        <v>0</v>
      </c>
      <c r="P584" s="1">
        <v>3</v>
      </c>
      <c r="Q584" s="5">
        <f t="shared" si="63"/>
        <v>0</v>
      </c>
      <c r="R584" s="5">
        <f t="shared" si="64"/>
        <v>0</v>
      </c>
      <c r="S584" s="5">
        <f t="shared" si="65"/>
        <v>1</v>
      </c>
      <c r="T584" s="5">
        <f t="shared" si="66"/>
        <v>0</v>
      </c>
      <c r="U584" s="5">
        <f t="shared" si="67"/>
        <v>1</v>
      </c>
      <c r="V584" s="5" t="str">
        <f t="shared" si="68"/>
        <v>派单超时</v>
      </c>
      <c r="W584" s="5">
        <f t="shared" si="69"/>
        <v>1</v>
      </c>
    </row>
    <row r="585" spans="1:23" ht="17.25" customHeight="1">
      <c r="A585" s="1" t="s">
        <v>651</v>
      </c>
      <c r="B585" s="1" t="s">
        <v>21</v>
      </c>
      <c r="C585" s="1" t="s">
        <v>25</v>
      </c>
      <c r="D585" s="1" t="s">
        <v>29</v>
      </c>
      <c r="E585" s="6">
        <v>46262.368055555555</v>
      </c>
      <c r="F585" s="6">
        <v>46262.43472222222</v>
      </c>
      <c r="G585" s="6">
        <v>46264.708333333336</v>
      </c>
      <c r="H585" s="6">
        <v>46264.679861111108</v>
      </c>
      <c r="I585" s="6">
        <v>46264.916666666664</v>
      </c>
      <c r="J585" s="6">
        <v>46264.768055555556</v>
      </c>
      <c r="K585" s="1" t="s">
        <v>66</v>
      </c>
      <c r="L585" s="1" t="s">
        <v>34</v>
      </c>
      <c r="M585" s="6"/>
      <c r="N585" s="6"/>
      <c r="O585" s="1">
        <v>0</v>
      </c>
      <c r="P585" s="1">
        <v>4</v>
      </c>
      <c r="Q585" s="5">
        <f t="shared" si="63"/>
        <v>1</v>
      </c>
      <c r="R585" s="5">
        <f t="shared" si="64"/>
        <v>1</v>
      </c>
      <c r="S585" s="5">
        <f t="shared" si="65"/>
        <v>0</v>
      </c>
      <c r="T585" s="5">
        <f t="shared" si="66"/>
        <v>0</v>
      </c>
      <c r="U585" s="5">
        <f t="shared" si="67"/>
        <v>0</v>
      </c>
      <c r="V585" s="5" t="str">
        <f t="shared" si="68"/>
        <v>无</v>
      </c>
      <c r="W585" s="5">
        <f t="shared" si="69"/>
        <v>1</v>
      </c>
    </row>
    <row r="586" spans="1:23" ht="17.25" customHeight="1">
      <c r="A586" s="1" t="s">
        <v>652</v>
      </c>
      <c r="B586" s="1" t="s">
        <v>20</v>
      </c>
      <c r="C586" s="1" t="s">
        <v>24</v>
      </c>
      <c r="D586" s="1" t="s">
        <v>28</v>
      </c>
      <c r="E586" s="6">
        <v>46262.378472222219</v>
      </c>
      <c r="F586" s="6">
        <v>46262.413194444445</v>
      </c>
      <c r="G586" s="6">
        <v>46263.5</v>
      </c>
      <c r="H586" s="6">
        <v>46263.475694444445</v>
      </c>
      <c r="I586" s="6">
        <v>46263.666666666664</v>
      </c>
      <c r="J586" s="6">
        <v>46263.552777777775</v>
      </c>
      <c r="K586" s="1" t="s">
        <v>66</v>
      </c>
      <c r="L586" s="1" t="s">
        <v>34</v>
      </c>
      <c r="M586" s="6"/>
      <c r="N586" s="6"/>
      <c r="O586" s="1">
        <v>0</v>
      </c>
      <c r="P586" s="1">
        <v>3</v>
      </c>
      <c r="Q586" s="5">
        <f t="shared" si="63"/>
        <v>1</v>
      </c>
      <c r="R586" s="5">
        <f t="shared" si="64"/>
        <v>1</v>
      </c>
      <c r="S586" s="5">
        <f t="shared" si="65"/>
        <v>0</v>
      </c>
      <c r="T586" s="5">
        <f t="shared" si="66"/>
        <v>0</v>
      </c>
      <c r="U586" s="5">
        <f t="shared" si="67"/>
        <v>0</v>
      </c>
      <c r="V586" s="5" t="str">
        <f t="shared" si="68"/>
        <v>无</v>
      </c>
      <c r="W586" s="5">
        <f t="shared" si="69"/>
        <v>1</v>
      </c>
    </row>
    <row r="587" spans="1:23" ht="17.25" customHeight="1">
      <c r="A587" s="1" t="s">
        <v>653</v>
      </c>
      <c r="B587" s="1" t="s">
        <v>20</v>
      </c>
      <c r="C587" s="1" t="s">
        <v>24</v>
      </c>
      <c r="D587" s="1" t="s">
        <v>28</v>
      </c>
      <c r="E587" s="6">
        <v>46262.399305555555</v>
      </c>
      <c r="F587" s="6">
        <v>46262.462500000001</v>
      </c>
      <c r="G587" s="6">
        <v>46263.708333333336</v>
      </c>
      <c r="H587" s="6">
        <v>46263.7</v>
      </c>
      <c r="I587" s="6">
        <v>46263.875</v>
      </c>
      <c r="J587" s="6">
        <v>46263.770138888889</v>
      </c>
      <c r="K587" s="1" t="s">
        <v>66</v>
      </c>
      <c r="L587" s="1" t="s">
        <v>34</v>
      </c>
      <c r="M587" s="6"/>
      <c r="N587" s="6"/>
      <c r="O587" s="1">
        <v>0</v>
      </c>
      <c r="P587" s="1">
        <v>4</v>
      </c>
      <c r="Q587" s="5">
        <f t="shared" si="63"/>
        <v>1</v>
      </c>
      <c r="R587" s="5">
        <f t="shared" si="64"/>
        <v>1</v>
      </c>
      <c r="S587" s="5">
        <f t="shared" si="65"/>
        <v>0</v>
      </c>
      <c r="T587" s="5">
        <f t="shared" si="66"/>
        <v>0</v>
      </c>
      <c r="U587" s="5">
        <f t="shared" si="67"/>
        <v>0</v>
      </c>
      <c r="V587" s="5" t="str">
        <f t="shared" si="68"/>
        <v>无</v>
      </c>
      <c r="W587" s="5">
        <f t="shared" si="69"/>
        <v>1</v>
      </c>
    </row>
    <row r="588" spans="1:23" ht="17.25" customHeight="1">
      <c r="A588" s="1" t="s">
        <v>654</v>
      </c>
      <c r="B588" s="1" t="s">
        <v>20</v>
      </c>
      <c r="C588" s="1" t="s">
        <v>24</v>
      </c>
      <c r="D588" s="1" t="s">
        <v>27</v>
      </c>
      <c r="E588" s="6">
        <v>46262.413194444445</v>
      </c>
      <c r="F588" s="6">
        <v>46262.46875</v>
      </c>
      <c r="G588" s="6">
        <v>46265.416666666664</v>
      </c>
      <c r="H588" s="6">
        <v>46265.406944444447</v>
      </c>
      <c r="I588" s="6">
        <v>46265.583333333336</v>
      </c>
      <c r="J588" s="6">
        <v>46265.448611111111</v>
      </c>
      <c r="K588" s="1" t="s">
        <v>66</v>
      </c>
      <c r="L588" s="1" t="s">
        <v>34</v>
      </c>
      <c r="M588" s="6"/>
      <c r="N588" s="6"/>
      <c r="O588" s="1">
        <v>0</v>
      </c>
      <c r="P588" s="1">
        <v>5</v>
      </c>
      <c r="Q588" s="5">
        <f t="shared" si="63"/>
        <v>1</v>
      </c>
      <c r="R588" s="5">
        <f t="shared" si="64"/>
        <v>1</v>
      </c>
      <c r="S588" s="5">
        <f t="shared" si="65"/>
        <v>0</v>
      </c>
      <c r="T588" s="5">
        <f t="shared" si="66"/>
        <v>0</v>
      </c>
      <c r="U588" s="5">
        <f t="shared" si="67"/>
        <v>0</v>
      </c>
      <c r="V588" s="5" t="str">
        <f t="shared" si="68"/>
        <v>无</v>
      </c>
      <c r="W588" s="5">
        <f t="shared" si="69"/>
        <v>1</v>
      </c>
    </row>
    <row r="589" spans="1:23" ht="17.25" customHeight="1">
      <c r="A589" s="1" t="s">
        <v>655</v>
      </c>
      <c r="B589" s="1" t="s">
        <v>21</v>
      </c>
      <c r="C589" s="1" t="s">
        <v>26</v>
      </c>
      <c r="D589" s="1" t="s">
        <v>29</v>
      </c>
      <c r="E589" s="6">
        <v>46262.413194444445</v>
      </c>
      <c r="F589" s="6">
        <v>46262.449305555558</v>
      </c>
      <c r="G589" s="6">
        <v>46263.5</v>
      </c>
      <c r="H589" s="6">
        <v>46263.493055555555</v>
      </c>
      <c r="I589" s="6">
        <v>46263.625</v>
      </c>
      <c r="J589" s="6">
        <v>46263.538194444445</v>
      </c>
      <c r="K589" s="1" t="s">
        <v>66</v>
      </c>
      <c r="L589" s="1" t="s">
        <v>34</v>
      </c>
      <c r="M589" s="6"/>
      <c r="N589" s="6"/>
      <c r="O589" s="1">
        <v>0</v>
      </c>
      <c r="P589" s="1">
        <v>5</v>
      </c>
      <c r="Q589" s="5">
        <f t="shared" si="63"/>
        <v>1</v>
      </c>
      <c r="R589" s="5">
        <f t="shared" si="64"/>
        <v>1</v>
      </c>
      <c r="S589" s="5">
        <f t="shared" si="65"/>
        <v>0</v>
      </c>
      <c r="T589" s="5">
        <f t="shared" si="66"/>
        <v>0</v>
      </c>
      <c r="U589" s="5">
        <f t="shared" si="67"/>
        <v>0</v>
      </c>
      <c r="V589" s="5" t="str">
        <f t="shared" si="68"/>
        <v>无</v>
      </c>
      <c r="W589" s="5">
        <f t="shared" si="69"/>
        <v>1</v>
      </c>
    </row>
    <row r="590" spans="1:23" ht="17.25" customHeight="1">
      <c r="A590" s="1" t="s">
        <v>656</v>
      </c>
      <c r="B590" s="1" t="s">
        <v>20</v>
      </c>
      <c r="C590" s="1" t="s">
        <v>24</v>
      </c>
      <c r="D590" s="1" t="s">
        <v>28</v>
      </c>
      <c r="E590" s="6">
        <v>46262.427083333336</v>
      </c>
      <c r="F590" s="6">
        <v>46262.474305555559</v>
      </c>
      <c r="G590" s="6">
        <v>46263.708333333336</v>
      </c>
      <c r="H590" s="6">
        <v>46263.682638888888</v>
      </c>
      <c r="I590" s="6">
        <v>46263.875</v>
      </c>
      <c r="J590" s="6">
        <v>46263.75</v>
      </c>
      <c r="K590" s="1" t="s">
        <v>66</v>
      </c>
      <c r="L590" s="1" t="s">
        <v>34</v>
      </c>
      <c r="M590" s="6"/>
      <c r="N590" s="6"/>
      <c r="O590" s="1">
        <v>0</v>
      </c>
      <c r="P590" s="1">
        <v>5</v>
      </c>
      <c r="Q590" s="5">
        <f t="shared" si="63"/>
        <v>1</v>
      </c>
      <c r="R590" s="5">
        <f t="shared" si="64"/>
        <v>1</v>
      </c>
      <c r="S590" s="5">
        <f t="shared" si="65"/>
        <v>0</v>
      </c>
      <c r="T590" s="5">
        <f t="shared" si="66"/>
        <v>0</v>
      </c>
      <c r="U590" s="5">
        <f t="shared" si="67"/>
        <v>0</v>
      </c>
      <c r="V590" s="5" t="str">
        <f t="shared" si="68"/>
        <v>无</v>
      </c>
      <c r="W590" s="5">
        <f t="shared" si="69"/>
        <v>1</v>
      </c>
    </row>
    <row r="591" spans="1:23" ht="17.25" customHeight="1">
      <c r="A591" s="1" t="s">
        <v>657</v>
      </c>
      <c r="B591" s="1" t="s">
        <v>20</v>
      </c>
      <c r="C591" s="1" t="s">
        <v>25</v>
      </c>
      <c r="D591" s="1" t="s">
        <v>27</v>
      </c>
      <c r="E591" s="6">
        <v>46262.520833333336</v>
      </c>
      <c r="F591" s="6">
        <v>46262.566666666666</v>
      </c>
      <c r="G591" s="6">
        <v>46263.416666666664</v>
      </c>
      <c r="H591" s="6">
        <v>46263.395833333336</v>
      </c>
      <c r="I591" s="6">
        <v>46263.625</v>
      </c>
      <c r="J591" s="6">
        <v>46263.474999999999</v>
      </c>
      <c r="K591" s="1" t="s">
        <v>66</v>
      </c>
      <c r="L591" s="1" t="s">
        <v>34</v>
      </c>
      <c r="M591" s="6"/>
      <c r="N591" s="6"/>
      <c r="O591" s="1">
        <v>0</v>
      </c>
      <c r="P591" s="1">
        <v>5</v>
      </c>
      <c r="Q591" s="5">
        <f t="shared" si="63"/>
        <v>1</v>
      </c>
      <c r="R591" s="5">
        <f t="shared" si="64"/>
        <v>1</v>
      </c>
      <c r="S591" s="5">
        <f t="shared" si="65"/>
        <v>0</v>
      </c>
      <c r="T591" s="5">
        <f t="shared" si="66"/>
        <v>0</v>
      </c>
      <c r="U591" s="5">
        <f t="shared" si="67"/>
        <v>0</v>
      </c>
      <c r="V591" s="5" t="str">
        <f t="shared" si="68"/>
        <v>无</v>
      </c>
      <c r="W591" s="5">
        <f t="shared" si="69"/>
        <v>1</v>
      </c>
    </row>
    <row r="592" spans="1:23" ht="17.25" customHeight="1">
      <c r="A592" s="1" t="s">
        <v>658</v>
      </c>
      <c r="B592" s="1" t="s">
        <v>22</v>
      </c>
      <c r="C592" s="1" t="s">
        <v>25</v>
      </c>
      <c r="D592" s="1" t="s">
        <v>32</v>
      </c>
      <c r="E592" s="6">
        <v>46262.524305555555</v>
      </c>
      <c r="F592" s="6">
        <v>46262.686111111114</v>
      </c>
      <c r="G592" s="6">
        <v>46263.708333333336</v>
      </c>
      <c r="H592" s="6">
        <v>46263.663194444445</v>
      </c>
      <c r="I592" s="6">
        <v>46263.916666666664</v>
      </c>
      <c r="J592" s="6">
        <v>46263.740972222222</v>
      </c>
      <c r="K592" s="1" t="s">
        <v>66</v>
      </c>
      <c r="L592" s="1" t="s">
        <v>34</v>
      </c>
      <c r="M592" s="6"/>
      <c r="N592" s="6"/>
      <c r="O592" s="1">
        <v>0</v>
      </c>
      <c r="P592" s="1">
        <v>4</v>
      </c>
      <c r="Q592" s="5">
        <f t="shared" si="63"/>
        <v>1</v>
      </c>
      <c r="R592" s="5">
        <f t="shared" si="64"/>
        <v>1</v>
      </c>
      <c r="S592" s="5">
        <f t="shared" si="65"/>
        <v>0</v>
      </c>
      <c r="T592" s="5">
        <f t="shared" si="66"/>
        <v>0</v>
      </c>
      <c r="U592" s="5">
        <f t="shared" si="67"/>
        <v>0</v>
      </c>
      <c r="V592" s="5" t="str">
        <f t="shared" si="68"/>
        <v>无</v>
      </c>
      <c r="W592" s="5">
        <f t="shared" si="69"/>
        <v>1</v>
      </c>
    </row>
    <row r="593" spans="1:23" ht="17.25" customHeight="1">
      <c r="A593" s="1" t="s">
        <v>659</v>
      </c>
      <c r="B593" s="1" t="s">
        <v>22</v>
      </c>
      <c r="C593" s="1" t="s">
        <v>26</v>
      </c>
      <c r="D593" s="1" t="s">
        <v>32</v>
      </c>
      <c r="E593" s="6">
        <v>46262.534722222219</v>
      </c>
      <c r="F593" s="6">
        <v>46262.649305555555</v>
      </c>
      <c r="G593" s="6">
        <v>46264.708333333336</v>
      </c>
      <c r="H593" s="6">
        <v>46264.728472222225</v>
      </c>
      <c r="I593" s="6">
        <v>46264.833333333336</v>
      </c>
      <c r="J593" s="6">
        <v>46264.818749999999</v>
      </c>
      <c r="K593" s="1" t="s">
        <v>66</v>
      </c>
      <c r="L593" s="1" t="s">
        <v>36</v>
      </c>
      <c r="M593" s="6">
        <v>46264.708333333336</v>
      </c>
      <c r="N593" s="6"/>
      <c r="O593" s="1">
        <v>0</v>
      </c>
      <c r="P593" s="1">
        <v>3</v>
      </c>
      <c r="Q593" s="5">
        <f t="shared" si="63"/>
        <v>0</v>
      </c>
      <c r="R593" s="5">
        <f t="shared" si="64"/>
        <v>1</v>
      </c>
      <c r="S593" s="5">
        <f t="shared" si="65"/>
        <v>1</v>
      </c>
      <c r="T593" s="5">
        <f t="shared" si="66"/>
        <v>0</v>
      </c>
      <c r="U593" s="5">
        <f t="shared" si="67"/>
        <v>1</v>
      </c>
      <c r="V593" s="5" t="str">
        <f t="shared" si="68"/>
        <v>上门超时</v>
      </c>
      <c r="W593" s="5">
        <f t="shared" si="69"/>
        <v>1</v>
      </c>
    </row>
    <row r="594" spans="1:23" ht="17.25" customHeight="1">
      <c r="A594" s="1" t="s">
        <v>660</v>
      </c>
      <c r="B594" s="1" t="s">
        <v>20</v>
      </c>
      <c r="C594" s="1" t="s">
        <v>25</v>
      </c>
      <c r="D594" s="1" t="s">
        <v>28</v>
      </c>
      <c r="E594" s="6">
        <v>46262.555555555555</v>
      </c>
      <c r="F594" s="6">
        <v>46264.44027777778</v>
      </c>
      <c r="G594" s="6">
        <v>46264.416666666664</v>
      </c>
      <c r="H594" s="6">
        <v>46264.522222222222</v>
      </c>
      <c r="I594" s="6">
        <v>46264.625</v>
      </c>
      <c r="J594" s="6">
        <v>46264.615277777775</v>
      </c>
      <c r="K594" s="1" t="s">
        <v>66</v>
      </c>
      <c r="L594" s="1" t="s">
        <v>35</v>
      </c>
      <c r="M594" s="6">
        <v>46264.416666666664</v>
      </c>
      <c r="N594" s="6"/>
      <c r="O594" s="1">
        <v>0</v>
      </c>
      <c r="P594" s="1">
        <v>4</v>
      </c>
      <c r="Q594" s="5">
        <f t="shared" si="63"/>
        <v>0</v>
      </c>
      <c r="R594" s="5">
        <f t="shared" si="64"/>
        <v>1</v>
      </c>
      <c r="S594" s="5">
        <f t="shared" si="65"/>
        <v>1</v>
      </c>
      <c r="T594" s="5">
        <f t="shared" si="66"/>
        <v>0</v>
      </c>
      <c r="U594" s="5">
        <f t="shared" si="67"/>
        <v>1</v>
      </c>
      <c r="V594" s="5" t="str">
        <f t="shared" si="68"/>
        <v>派单超时</v>
      </c>
      <c r="W594" s="5">
        <f t="shared" si="69"/>
        <v>1</v>
      </c>
    </row>
    <row r="595" spans="1:23" ht="17.25" customHeight="1">
      <c r="A595" s="1" t="s">
        <v>661</v>
      </c>
      <c r="B595" s="1" t="s">
        <v>20</v>
      </c>
      <c r="C595" s="1" t="s">
        <v>25</v>
      </c>
      <c r="D595" s="1" t="s">
        <v>28</v>
      </c>
      <c r="E595" s="6">
        <v>46262.559027777781</v>
      </c>
      <c r="F595" s="6">
        <v>46262.662499999999</v>
      </c>
      <c r="G595" s="6">
        <v>46263.5</v>
      </c>
      <c r="H595" s="6">
        <v>46263.48541666667</v>
      </c>
      <c r="I595" s="6">
        <v>46263.708333333336</v>
      </c>
      <c r="J595" s="6">
        <v>46263.566666666666</v>
      </c>
      <c r="K595" s="1" t="s">
        <v>66</v>
      </c>
      <c r="L595" s="1" t="s">
        <v>34</v>
      </c>
      <c r="M595" s="6"/>
      <c r="N595" s="6"/>
      <c r="O595" s="1">
        <v>0</v>
      </c>
      <c r="P595" s="1">
        <v>5</v>
      </c>
      <c r="Q595" s="5">
        <f t="shared" si="63"/>
        <v>1</v>
      </c>
      <c r="R595" s="5">
        <f t="shared" si="64"/>
        <v>1</v>
      </c>
      <c r="S595" s="5">
        <f t="shared" si="65"/>
        <v>0</v>
      </c>
      <c r="T595" s="5">
        <f t="shared" si="66"/>
        <v>0</v>
      </c>
      <c r="U595" s="5">
        <f t="shared" si="67"/>
        <v>0</v>
      </c>
      <c r="V595" s="5" t="str">
        <f t="shared" si="68"/>
        <v>无</v>
      </c>
      <c r="W595" s="5">
        <f t="shared" si="69"/>
        <v>1</v>
      </c>
    </row>
    <row r="596" spans="1:23" ht="17.25" customHeight="1">
      <c r="A596" s="1" t="s">
        <v>662</v>
      </c>
      <c r="B596" s="1" t="s">
        <v>21</v>
      </c>
      <c r="C596" s="1" t="s">
        <v>24</v>
      </c>
      <c r="D596" s="1" t="s">
        <v>30</v>
      </c>
      <c r="E596" s="6">
        <v>46262.572916666664</v>
      </c>
      <c r="F596" s="6">
        <v>46263.463888888888</v>
      </c>
      <c r="G596" s="6">
        <v>46263.416666666664</v>
      </c>
      <c r="H596" s="6">
        <v>46263.5</v>
      </c>
      <c r="I596" s="6">
        <v>46263.583333333336</v>
      </c>
      <c r="J596" s="6">
        <v>46263.555555555555</v>
      </c>
      <c r="K596" s="1" t="s">
        <v>66</v>
      </c>
      <c r="L596" s="1" t="s">
        <v>35</v>
      </c>
      <c r="M596" s="6">
        <v>46263.416666666664</v>
      </c>
      <c r="N596" s="6">
        <v>46263.603472222225</v>
      </c>
      <c r="O596" s="1">
        <v>0</v>
      </c>
      <c r="P596" s="1"/>
      <c r="Q596" s="5">
        <f t="shared" si="63"/>
        <v>0</v>
      </c>
      <c r="R596" s="5">
        <f t="shared" si="64"/>
        <v>1</v>
      </c>
      <c r="S596" s="5">
        <f t="shared" si="65"/>
        <v>1</v>
      </c>
      <c r="T596" s="5">
        <f t="shared" si="66"/>
        <v>1</v>
      </c>
      <c r="U596" s="5">
        <f t="shared" si="67"/>
        <v>0</v>
      </c>
      <c r="V596" s="5" t="str">
        <f t="shared" si="68"/>
        <v>派单超时</v>
      </c>
      <c r="W596" s="5">
        <f t="shared" si="69"/>
        <v>1</v>
      </c>
    </row>
    <row r="597" spans="1:23" ht="17.25" customHeight="1">
      <c r="A597" s="1" t="s">
        <v>663</v>
      </c>
      <c r="B597" s="1" t="s">
        <v>22</v>
      </c>
      <c r="C597" s="1" t="s">
        <v>24</v>
      </c>
      <c r="D597" s="1" t="s">
        <v>31</v>
      </c>
      <c r="E597" s="6">
        <v>46262.600694444445</v>
      </c>
      <c r="F597" s="6">
        <v>46262.645138888889</v>
      </c>
      <c r="G597" s="6">
        <v>46263.625</v>
      </c>
      <c r="H597" s="6">
        <v>46263.683333333334</v>
      </c>
      <c r="I597" s="6">
        <v>46263.791666666664</v>
      </c>
      <c r="J597" s="6">
        <v>46263.719444444447</v>
      </c>
      <c r="K597" s="1" t="s">
        <v>66</v>
      </c>
      <c r="L597" s="1" t="s">
        <v>36</v>
      </c>
      <c r="M597" s="6">
        <v>46263.625</v>
      </c>
      <c r="N597" s="6">
        <v>46263.902083333334</v>
      </c>
      <c r="O597" s="1">
        <v>0</v>
      </c>
      <c r="P597" s="1">
        <v>4</v>
      </c>
      <c r="Q597" s="5">
        <f t="shared" si="63"/>
        <v>0</v>
      </c>
      <c r="R597" s="5">
        <f t="shared" si="64"/>
        <v>1</v>
      </c>
      <c r="S597" s="5">
        <f t="shared" si="65"/>
        <v>1</v>
      </c>
      <c r="T597" s="5">
        <f t="shared" si="66"/>
        <v>1</v>
      </c>
      <c r="U597" s="5">
        <f t="shared" si="67"/>
        <v>0</v>
      </c>
      <c r="V597" s="5" t="str">
        <f t="shared" si="68"/>
        <v>上门超时</v>
      </c>
      <c r="W597" s="5">
        <f t="shared" si="69"/>
        <v>1</v>
      </c>
    </row>
    <row r="598" spans="1:23" ht="17.25" customHeight="1">
      <c r="A598" s="1" t="s">
        <v>664</v>
      </c>
      <c r="B598" s="1" t="s">
        <v>22</v>
      </c>
      <c r="C598" s="1" t="s">
        <v>24</v>
      </c>
      <c r="D598" s="1" t="s">
        <v>32</v>
      </c>
      <c r="E598" s="6">
        <v>46262.649305555555</v>
      </c>
      <c r="F598" s="6"/>
      <c r="G598" s="6">
        <v>46263.416666666664</v>
      </c>
      <c r="H598" s="6"/>
      <c r="I598" s="6">
        <v>46263.583333333336</v>
      </c>
      <c r="J598" s="6"/>
      <c r="K598" s="1" t="s">
        <v>73</v>
      </c>
      <c r="L598" s="1" t="s">
        <v>35</v>
      </c>
      <c r="M598" s="6">
        <v>46263.416666666664</v>
      </c>
      <c r="N598" s="6"/>
      <c r="O598" s="1">
        <v>0</v>
      </c>
      <c r="P598" s="1"/>
      <c r="Q598" s="5">
        <f t="shared" si="63"/>
        <v>0</v>
      </c>
      <c r="R598" s="5">
        <f t="shared" si="64"/>
        <v>0</v>
      </c>
      <c r="S598" s="5">
        <f t="shared" si="65"/>
        <v>1</v>
      </c>
      <c r="T598" s="5">
        <f t="shared" si="66"/>
        <v>0</v>
      </c>
      <c r="U598" s="5">
        <f t="shared" si="67"/>
        <v>1</v>
      </c>
      <c r="V598" s="5" t="str">
        <f t="shared" si="68"/>
        <v>派单超时</v>
      </c>
      <c r="W598" s="5">
        <f t="shared" si="69"/>
        <v>1</v>
      </c>
    </row>
    <row r="599" spans="1:23" ht="17.25" customHeight="1">
      <c r="A599" s="1" t="s">
        <v>665</v>
      </c>
      <c r="B599" s="1" t="s">
        <v>20</v>
      </c>
      <c r="C599" s="1" t="s">
        <v>24</v>
      </c>
      <c r="D599" s="1" t="s">
        <v>28</v>
      </c>
      <c r="E599" s="6">
        <v>46262.725694444445</v>
      </c>
      <c r="F599" s="6">
        <v>46262.821527777778</v>
      </c>
      <c r="G599" s="6">
        <v>46265.416666666664</v>
      </c>
      <c r="H599" s="6">
        <v>46265.369444444441</v>
      </c>
      <c r="I599" s="6">
        <v>46265.583333333336</v>
      </c>
      <c r="J599" s="6">
        <v>46265.418749999997</v>
      </c>
      <c r="K599" s="1" t="s">
        <v>66</v>
      </c>
      <c r="L599" s="1" t="s">
        <v>34</v>
      </c>
      <c r="M599" s="6"/>
      <c r="N599" s="6"/>
      <c r="O599" s="1">
        <v>0</v>
      </c>
      <c r="P599" s="1"/>
      <c r="Q599" s="5">
        <f t="shared" si="63"/>
        <v>1</v>
      </c>
      <c r="R599" s="5">
        <f t="shared" si="64"/>
        <v>1</v>
      </c>
      <c r="S599" s="5">
        <f t="shared" si="65"/>
        <v>0</v>
      </c>
      <c r="T599" s="5">
        <f t="shared" si="66"/>
        <v>0</v>
      </c>
      <c r="U599" s="5">
        <f t="shared" si="67"/>
        <v>0</v>
      </c>
      <c r="V599" s="5" t="str">
        <f t="shared" si="68"/>
        <v>无</v>
      </c>
      <c r="W599" s="5">
        <f t="shared" si="69"/>
        <v>1</v>
      </c>
    </row>
    <row r="600" spans="1:23" ht="17.25" customHeight="1">
      <c r="A600" s="1" t="s">
        <v>666</v>
      </c>
      <c r="B600" s="1" t="s">
        <v>20</v>
      </c>
      <c r="C600" s="1" t="s">
        <v>24</v>
      </c>
      <c r="D600" s="1" t="s">
        <v>27</v>
      </c>
      <c r="E600" s="6">
        <v>46262.736111111109</v>
      </c>
      <c r="F600" s="6">
        <v>46262.834027777775</v>
      </c>
      <c r="G600" s="6">
        <v>46263.416666666664</v>
      </c>
      <c r="H600" s="6">
        <v>46263.385416666664</v>
      </c>
      <c r="I600" s="6">
        <v>46263.583333333336</v>
      </c>
      <c r="J600" s="6">
        <v>46263.446527777778</v>
      </c>
      <c r="K600" s="1" t="s">
        <v>66</v>
      </c>
      <c r="L600" s="1" t="s">
        <v>34</v>
      </c>
      <c r="M600" s="6"/>
      <c r="N600" s="6"/>
      <c r="O600" s="1">
        <v>1</v>
      </c>
      <c r="P600" s="1">
        <v>3</v>
      </c>
      <c r="Q600" s="5">
        <f t="shared" si="63"/>
        <v>1</v>
      </c>
      <c r="R600" s="5">
        <f t="shared" si="64"/>
        <v>1</v>
      </c>
      <c r="S600" s="5">
        <f t="shared" si="65"/>
        <v>0</v>
      </c>
      <c r="T600" s="5">
        <f t="shared" si="66"/>
        <v>0</v>
      </c>
      <c r="U600" s="5">
        <f t="shared" si="67"/>
        <v>0</v>
      </c>
      <c r="V600" s="5" t="str">
        <f t="shared" si="68"/>
        <v>无</v>
      </c>
      <c r="W600" s="5">
        <f t="shared" si="69"/>
        <v>1</v>
      </c>
    </row>
    <row r="601" spans="1:23" ht="17.25" customHeight="1">
      <c r="A601" s="1" t="s">
        <v>667</v>
      </c>
      <c r="B601" s="1" t="s">
        <v>21</v>
      </c>
      <c r="C601" s="1" t="s">
        <v>24</v>
      </c>
      <c r="D601" s="1" t="s">
        <v>30</v>
      </c>
      <c r="E601" s="6">
        <v>46262.767361111109</v>
      </c>
      <c r="F601" s="6">
        <v>46262.875</v>
      </c>
      <c r="G601" s="6">
        <v>46263.5</v>
      </c>
      <c r="H601" s="6">
        <v>46263.572222222225</v>
      </c>
      <c r="I601" s="6">
        <v>46263.666666666664</v>
      </c>
      <c r="J601" s="6">
        <v>46263.668055555558</v>
      </c>
      <c r="K601" s="1" t="s">
        <v>66</v>
      </c>
      <c r="L601" s="1" t="s">
        <v>36</v>
      </c>
      <c r="M601" s="6">
        <v>46263.5</v>
      </c>
      <c r="N601" s="6">
        <v>46263.73541666667</v>
      </c>
      <c r="O601" s="1">
        <v>1</v>
      </c>
      <c r="P601" s="1">
        <v>1</v>
      </c>
      <c r="Q601" s="5">
        <f t="shared" si="63"/>
        <v>0</v>
      </c>
      <c r="R601" s="5">
        <f t="shared" si="64"/>
        <v>0</v>
      </c>
      <c r="S601" s="5">
        <f t="shared" si="65"/>
        <v>1</v>
      </c>
      <c r="T601" s="5">
        <f t="shared" si="66"/>
        <v>1</v>
      </c>
      <c r="U601" s="5">
        <f t="shared" si="67"/>
        <v>0</v>
      </c>
      <c r="V601" s="5" t="str">
        <f t="shared" si="68"/>
        <v>上门超时</v>
      </c>
      <c r="W601" s="5">
        <f t="shared" si="69"/>
        <v>1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看板</vt:lpstr>
      <vt:lpstr>分组汇总</vt:lpstr>
      <vt:lpstr>透视_城市工单量</vt:lpstr>
      <vt:lpstr>工单明细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 Guo</cp:lastModifiedBy>
  <dcterms:modified xsi:type="dcterms:W3CDTF">2026-10-13T08:53:24Z</dcterms:modified>
</cp:coreProperties>
</file>