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c82b400034e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口径" sheetId="1" r:id="R3fa15884ff0c44a8"/>
    <x:sheet xmlns:r="http://schemas.openxmlformats.org/officeDocument/2006/relationships" name="字段字典" sheetId="2" r:id="Ra35b1aa0bbf54190"/>
    <x:sheet xmlns:r="http://schemas.openxmlformats.org/officeDocument/2006/relationships" name="三单校验" sheetId="3" r:id="R4ef859bf2b32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 hh:mm"/>
  </x:numFmts>
  <x:fonts count="9">
    <x:font>
      <x:sz val="11"/>
      <x:name val="Carlito"/>
    </x:font>
    <x:font>
      <x:sz val="10"/>
      <x:color rgb="FF183247"/>
      <x:name val="Microsoft YaHei"/>
    </x:font>
    <x:font>
      <x:b/>
      <x:sz val="15"/>
      <x:color rgb="FF173A53"/>
      <x:name val="Microsoft YaHei"/>
    </x:font>
    <x:font>
      <x:i/>
      <x:sz val="10"/>
      <x:color rgb="FF536B79"/>
      <x:name val="Microsoft YaHei"/>
    </x:font>
    <x:font>
      <x:b/>
      <x:sz val="10"/>
      <x:color rgb="FFFFFFFF"/>
      <x:name val="Microsoft YaHei"/>
    </x:font>
    <x:font>
      <x:b/>
      <x:sz val="10"/>
      <x:color rgb="FF173A53"/>
      <x:name val="Microsoft YaHei"/>
    </x:font>
    <x:font>
      <x:b/>
      <x:sz val="11"/>
      <x:color rgb="FF173A53"/>
      <x:name val="Microsoft YaHei"/>
    </x:font>
    <x:font>
      <x:sz val="10"/>
      <x:color rgb="FF536B79"/>
      <x:name val="Microsoft YaHei"/>
    </x:font>
    <x:font>
      <x:b/>
      <x:sz val="10"/>
      <x:color rgb="FF173A5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3"/>
      </x:patternFill>
    </x:fill>
    <x:fill>
      <x:patternFill patternType="solid">
        <x:fgColor rgb="FFEAF2F6"/>
      </x:patternFill>
    </x:fill>
    <x:fill>
      <x:patternFill patternType="solid">
        <x:fgColor rgb="FFFFF4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7D6DE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de26e602242ec" /><Relationship Type="http://schemas.openxmlformats.org/officeDocument/2006/relationships/theme" Target="/xl/theme/theme1.xml" Id="Rbcd8583f88044198" /><Relationship Type="http://schemas.openxmlformats.org/officeDocument/2006/relationships/sharedStrings" Target="/xl/sharedStrings.xml" Id="R15297e68954749db" /><Relationship Type="http://schemas.openxmlformats.org/officeDocument/2006/relationships/worksheet" Target="/xl/worksheets/sheet1.xml" Id="R3fa15884ff0c44a8" /><Relationship Type="http://schemas.openxmlformats.org/officeDocument/2006/relationships/worksheet" Target="/xl/worksheets/sheet2.xml" Id="Ra35b1aa0bbf54190" /><Relationship Type="http://schemas.openxmlformats.org/officeDocument/2006/relationships/worksheet" Target="/xl/worksheets/sheet3.xml" Id="R4ef859bf2b324d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A53"/>
  </x:sheetPr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31.25" hidden="0" customWidth="1"/>
    <x:col min="4" max="4" width="40" hidden="0" customWidth="1"/>
    <x:col min="5" max="5" width="13.75" hidden="0" customWidth="1"/>
  </x:cols>
  <x:sheetData>
    <x:row r="1">
      <x:c r="A1" s="2"/>
      <x:c r="B1" s="2"/>
      <x:c r="C1" s="2"/>
      <x:c r="D1" s="2"/>
      <x:c r="E1" s="2"/>
    </x:row>
    <x:row r="2" ht="26.25" customHeight="1">
      <x:c r="A2" s="3" t="str">
        <x:v>服务履约指标口径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5" t="str">
        <x:v>范围：个人模拟项目；有效工单均已到期，基础版无取消单。指标只用于检验分析方法。</x:v>
      </x:c>
      <x:c r="B4" s="5"/>
      <x:c r="C4" s="5"/>
      <x:c r="D4" s="5"/>
      <x:c r="E4" s="5"/>
    </x:row>
    <x:row r="5" ht="25.5" customHeight="1">
      <x:c r="A5" s="9" t="str">
        <x:v>指标</x:v>
      </x:c>
      <x:c r="B5" s="9" t="str">
        <x:v>分子</x:v>
      </x:c>
      <x:c r="C5" s="9" t="str">
        <x:v>分母</x:v>
      </x:c>
      <x:c r="D5" s="9" t="str">
        <x:v>空值与适用规则</x:v>
      </x:c>
      <x:c r="E5" s="9" t="str">
        <x:v>三单示例</x:v>
      </x:c>
    </x:row>
    <x:row r="6" ht="37.5" customHeight="1">
      <x:c r="A6" s="13" t="str">
        <x:v>准时上门率</x:v>
      </x:c>
      <x:c r="B6" s="11" t="str">
        <x:v>实际上门时间 ≤ 预约截止时间的工单数</x:v>
      </x:c>
      <x:c r="C6" s="11" t="str">
        <x:v>全部已到期有效工单数</x:v>
      </x:c>
      <x:c r="D6" s="11" t="str">
        <x:v>实际上门时间为空，计为未准时。</x:v>
      </x:c>
      <x:c r="E6" s="14" t="n">
        <x:f>'三单校验'!B5</x:f>
        <x:v>0.3333333333333333</x:v>
      </x:c>
    </x:row>
    <x:row r="7" ht="37.5" customHeight="1">
      <x:c r="A7" s="13" t="str">
        <x:v>按期完工率</x:v>
      </x:c>
      <x:c r="B7" s="11" t="str">
        <x:v>实际完工时间 ≤ 承诺完工时间的工单数</x:v>
      </x:c>
      <x:c r="C7" s="11" t="str">
        <x:v>全部已到期有效工单数</x:v>
      </x:c>
      <x:c r="D7" s="11" t="str">
        <x:v>实际完工时间为空，计为未按期。</x:v>
      </x:c>
      <x:c r="E7" s="14" t="n">
        <x:f>'三单校验'!B6</x:f>
        <x:v>0.3333333333333333</x:v>
      </x:c>
    </x:row>
    <x:row r="8" ht="37.5" customHeight="1">
      <x:c r="A8" s="13" t="str">
        <x:v>投诉率</x:v>
      </x:c>
      <x:c r="B8" s="11" t="str">
        <x:v>投诉标记为 1 的工单数</x:v>
      </x:c>
      <x:c r="C8" s="11" t="str">
        <x:v>全部有效工单数</x:v>
      </x:c>
      <x:c r="D8" s="11" t="str">
        <x:v>投诉标记必须填 0 或 1；不得空置。</x:v>
      </x:c>
      <x:c r="E8" s="14" t="n">
        <x:f>'三单校验'!B7</x:f>
        <x:v>0.3333333333333333</x:v>
      </x:c>
    </x:row>
    <x:row r="9" ht="37.5" customHeight="1">
      <x:c r="A9" s="13" t="str">
        <x:v>异常闭环率</x:v>
      </x:c>
      <x:c r="B9" s="11" t="str">
        <x:v>有异常且填写关闭时间的工单数</x:v>
      </x:c>
      <x:c r="C9" s="11" t="str">
        <x:v>全部有异常的工单数</x:v>
      </x:c>
      <x:c r="D9" s="11" t="str">
        <x:v>关闭时间为空，计为未闭环；无异常工单不入分母。</x:v>
      </x:c>
      <x:c r="E9" s="14" t="n">
        <x:f>'三单校验'!B8</x:f>
        <x:v>0.5</x:v>
      </x:c>
    </x:row>
    <x:row r="10">
      <x:c r="A10" s="2"/>
      <x:c r="B10" s="2"/>
      <x:c r="C10" s="2"/>
      <x:c r="D10" s="2"/>
      <x:c r="E10" s="2"/>
    </x:row>
    <x:row r="11">
      <x:c r="A11" s="15" t="str">
        <x:v>口径边界</x:v>
      </x:c>
      <x:c r="B11" s="2"/>
      <x:c r="C11" s="2"/>
      <x:c r="D11" s="2"/>
      <x:c r="E11" s="2"/>
    </x:row>
    <x:row r="12">
      <x:c r="A12" s="16" t="str">
        <x:v>按期指标的判断时间为承诺截止时间；三单样例均已到期。正式模拟数据必须注明统一统计截止时间。</x:v>
      </x:c>
      <x:c r="B12" s="16"/>
      <x:c r="C12" s="16"/>
      <x:c r="D12" s="16"/>
      <x:c r="E12" s="16"/>
    </x:row>
    <x:row r="13">
      <x:c r="A13" s="16" t="str">
        <x:v>主要异常只记录最早失约环节；准时上门、按期完工和投诉分别计算，不能用主要异常标签代替。</x:v>
      </x:c>
      <x:c r="B13" s="16"/>
      <x:c r="C13" s="16"/>
      <x:c r="D13" s="16"/>
      <x:c r="E13" s="16"/>
    </x:row>
    <x:row r="14">
      <x:c r="A14" s="16" t="str">
        <x:v>若未来增加取消订单，应先明确取消时点及分母排除规则，再更新看板。</x:v>
      </x:c>
      <x:c r="B14" s="16"/>
      <x:c r="C14" s="16"/>
      <x:c r="D14" s="16"/>
      <x:c r="E14" s="16"/>
    </x:row>
    <x:row r="15">
      <x:c r="A15" s="2"/>
      <x:c r="B15" s="2"/>
      <x:c r="C15" s="2"/>
      <x:c r="D15" s="2"/>
      <x:c r="E15" s="2"/>
    </x:row>
    <x:row r="16">
      <x:c r="A16" s="2"/>
      <x:c r="B16" s="2"/>
      <x:c r="C16" s="2"/>
      <x:c r="D16" s="2"/>
      <x:c r="E1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8799991607666" hidden="0" customWidth="1"/>
    <x:col min="2" max="2" width="25.6299991607666" hidden="0" customWidth="1"/>
    <x:col min="3" max="3" width="33.130001068115234" hidden="0" customWidth="1"/>
    <x:col min="4" max="4" width="11" hidden="0" customWidth="1"/>
    <x:col min="5" max="5" width="43.130001068115234" hidden="0" customWidth="1"/>
  </x:cols>
  <x:sheetData>
    <x:row r="1">
      <x:c r="A1" s="2"/>
      <x:c r="B1" s="2"/>
      <x:c r="C1" s="2"/>
      <x:c r="D1" s="2"/>
      <x:c r="E1" s="2"/>
    </x:row>
    <x:row r="2" ht="26.25" customHeight="1">
      <x:c r="A2" s="3" t="str">
        <x:v>模拟工单字段字典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5" t="str">
        <x:v>字段名使用英文，便于后续 CSV、Excel 和 R 保持一致；全部时间使用北京时间，格式 YYYY-MM-DD HH:MM。</x:v>
      </x:c>
      <x:c r="B4" s="5"/>
      <x:c r="C4" s="5"/>
      <x:c r="D4" s="5"/>
      <x:c r="E4" s="5"/>
    </x:row>
    <x:row r="5" ht="25.5" customHeight="1">
      <x:c r="A5" s="9" t="str">
        <x:v>字段名</x:v>
      </x:c>
      <x:c r="B5" s="9" t="str">
        <x:v>中文含义</x:v>
      </x:c>
      <x:c r="C5" s="9" t="str">
        <x:v>类型或允许值</x:v>
      </x:c>
      <x:c r="D5" s="9" t="str">
        <x:v>可为空</x:v>
      </x:c>
      <x:c r="E5" s="9" t="str">
        <x:v>填写与校验规则</x:v>
      </x:c>
    </x:row>
    <x:row r="6" ht="29.25" customHeight="1">
      <x:c r="A6" s="17" t="str">
        <x:v>order_id</x:v>
      </x:c>
      <x:c r="B6" s="11" t="str">
        <x:v>工单唯一编号</x:v>
      </x:c>
      <x:c r="C6" s="11" t="str">
        <x:v>文本，例如 A001</x:v>
      </x:c>
      <x:c r="D6" s="11" t="str">
        <x:v>否</x:v>
      </x:c>
      <x:c r="E6" s="11" t="str">
        <x:v>不得重复；不含客户身份信息。</x:v>
      </x:c>
    </x:row>
    <x:row r="7" ht="29.25" customHeight="1">
      <x:c r="A7" s="17" t="str">
        <x:v>city</x:v>
      </x:c>
      <x:c r="B7" s="11" t="str">
        <x:v>服务城市</x:v>
      </x:c>
      <x:c r="C7" s="11" t="str">
        <x:v>北京／武汉／重庆</x:v>
      </x:c>
      <x:c r="D7" s="11" t="str">
        <x:v>否</x:v>
      </x:c>
      <x:c r="E7" s="11" t="str">
        <x:v>仅允许三个模拟城市。</x:v>
      </x:c>
    </x:row>
    <x:row r="8" ht="29.25" customHeight="1">
      <x:c r="A8" s="17" t="str">
        <x:v>service_type</x:v>
      </x:c>
      <x:c r="B8" s="11" t="str">
        <x:v>服务类型</x:v>
      </x:c>
      <x:c r="C8" s="11" t="str">
        <x:v>安装／维修／拆旧</x:v>
      </x:c>
      <x:c r="D8" s="11" t="str">
        <x:v>否</x:v>
      </x:c>
      <x:c r="E8" s="11" t="str">
        <x:v>仅允许三种模拟服务。</x:v>
      </x:c>
    </x:row>
    <x:row r="9" ht="29.25" customHeight="1">
      <x:c r="A9" s="17" t="str">
        <x:v>site_id</x:v>
      </x:c>
      <x:c r="B9" s="11" t="str">
        <x:v>服务站点编号</x:v>
      </x:c>
      <x:c r="C9" s="11" t="str">
        <x:v>文本，例如 BJ01</x:v>
      </x:c>
      <x:c r="D9" s="11" t="str">
        <x:v>否</x:v>
      </x:c>
      <x:c r="E9" s="11" t="str">
        <x:v>同一站点编码保持一致。</x:v>
      </x:c>
    </x:row>
    <x:row r="10" ht="29.25" customHeight="1">
      <x:c r="A10" s="17" t="str">
        <x:v>created_at</x:v>
      </x:c>
      <x:c r="B10" s="11" t="str">
        <x:v>工单创建时间</x:v>
      </x:c>
      <x:c r="C10" s="11" t="str">
        <x:v>北京时间日期时间</x:v>
      </x:c>
      <x:c r="D10" s="11" t="str">
        <x:v>否</x:v>
      </x:c>
      <x:c r="E10" s="11" t="str">
        <x:v>应早于两个承诺截止时间。</x:v>
      </x:c>
    </x:row>
    <x:row r="11" ht="29.25" customHeight="1">
      <x:c r="A11" s="17" t="str">
        <x:v>dispatched_at</x:v>
      </x:c>
      <x:c r="B11" s="11" t="str">
        <x:v>实际派单时间</x:v>
      </x:c>
      <x:c r="C11" s="11" t="str">
        <x:v>北京时间日期时间</x:v>
      </x:c>
      <x:c r="D11" s="11" t="str">
        <x:v>是</x:v>
      </x:c>
      <x:c r="E11" s="11" t="str">
        <x:v>未派单时留空；有值时不得早于创建。</x:v>
      </x:c>
    </x:row>
    <x:row r="12" ht="29.25" customHeight="1">
      <x:c r="A12" s="17" t="str">
        <x:v>appointment_deadline</x:v>
      </x:c>
      <x:c r="B12" s="11" t="str">
        <x:v>约定上门截止时间</x:v>
      </x:c>
      <x:c r="C12" s="11" t="str">
        <x:v>北京时间日期时间</x:v>
      </x:c>
      <x:c r="D12" s="11" t="str">
        <x:v>否</x:v>
      </x:c>
      <x:c r="E12" s="11" t="str">
        <x:v>基础版中应早于统一统计截止时间。</x:v>
      </x:c>
    </x:row>
    <x:row r="13" ht="29.25" customHeight="1">
      <x:c r="A13" s="17" t="str">
        <x:v>arrived_at</x:v>
      </x:c>
      <x:c r="B13" s="11" t="str">
        <x:v>实际上门时间</x:v>
      </x:c>
      <x:c r="C13" s="11" t="str">
        <x:v>北京时间日期时间</x:v>
      </x:c>
      <x:c r="D13" s="11" t="str">
        <x:v>是</x:v>
      </x:c>
      <x:c r="E13" s="11" t="str">
        <x:v>未上门时留空；有值时不得早于派单。</x:v>
      </x:c>
    </x:row>
    <x:row r="14" ht="29.25" customHeight="1">
      <x:c r="A14" s="17" t="str">
        <x:v>completion_deadline</x:v>
      </x:c>
      <x:c r="B14" s="11" t="str">
        <x:v>承诺完工截止时间</x:v>
      </x:c>
      <x:c r="C14" s="11" t="str">
        <x:v>北京时间日期时间</x:v>
      </x:c>
      <x:c r="D14" s="11" t="str">
        <x:v>否</x:v>
      </x:c>
      <x:c r="E14" s="11" t="str">
        <x:v>应晚于预约上门截止；基础版中已到期。</x:v>
      </x:c>
    </x:row>
    <x:row r="15" ht="29.25" customHeight="1">
      <x:c r="A15" s="17" t="str">
        <x:v>completed_at</x:v>
      </x:c>
      <x:c r="B15" s="11" t="str">
        <x:v>实际完工时间</x:v>
      </x:c>
      <x:c r="C15" s="11" t="str">
        <x:v>北京时间日期时间</x:v>
      </x:c>
      <x:c r="D15" s="11" t="str">
        <x:v>是</x:v>
      </x:c>
      <x:c r="E15" s="11" t="str">
        <x:v>未完工时留空；有值时不得早于上门。</x:v>
      </x:c>
    </x:row>
    <x:row r="16" ht="29.25" customHeight="1">
      <x:c r="A16" s="17" t="str">
        <x:v>order_status</x:v>
      </x:c>
      <x:c r="B16" s="11" t="str">
        <x:v>工单状态</x:v>
      </x:c>
      <x:c r="C16" s="11" t="str">
        <x:v>已完工／未完工</x:v>
      </x:c>
      <x:c r="D16" s="11" t="str">
        <x:v>否</x:v>
      </x:c>
      <x:c r="E16" s="11" t="str">
        <x:v>已完工须有 completed_at；否则为未完工。</x:v>
      </x:c>
    </x:row>
    <x:row r="17" ht="29.25" customHeight="1">
      <x:c r="A17" s="17" t="str">
        <x:v>primary_exception</x:v>
      </x:c>
      <x:c r="B17" s="11" t="str">
        <x:v>主要异常类型</x:v>
      </x:c>
      <x:c r="C17" s="11" t="str">
        <x:v>无／派单超时／上门超时／完工超时</x:v>
      </x:c>
      <x:c r="D17" s="11" t="str">
        <x:v>否</x:v>
      </x:c>
      <x:c r="E17" s="11" t="str">
        <x:v>若多环节失约，记录流程中最早的一类。</x:v>
      </x:c>
    </x:row>
    <x:row r="18" ht="29.25" customHeight="1">
      <x:c r="A18" s="17" t="str">
        <x:v>exception_detected_at</x:v>
      </x:c>
      <x:c r="B18" s="11" t="str">
        <x:v>主要异常发现时间</x:v>
      </x:c>
      <x:c r="C18" s="11" t="str">
        <x:v>北京时间日期时间</x:v>
      </x:c>
      <x:c r="D18" s="11" t="str">
        <x:v>是</x:v>
      </x:c>
      <x:c r="E18" s="11" t="str">
        <x:v>无异常留空；有异常必须填写。</x:v>
      </x:c>
    </x:row>
    <x:row r="19" ht="29.25" customHeight="1">
      <x:c r="A19" s="17" t="str">
        <x:v>exception_closed_at</x:v>
      </x:c>
      <x:c r="B19" s="11" t="str">
        <x:v>异常处理关闭时间</x:v>
      </x:c>
      <x:c r="C19" s="11" t="str">
        <x:v>北京时间日期时间</x:v>
      </x:c>
      <x:c r="D19" s="11" t="str">
        <x:v>是</x:v>
      </x:c>
      <x:c r="E19" s="11" t="str">
        <x:v>未关闭留空；有值须晚于或等于发现时间。</x:v>
      </x:c>
    </x:row>
    <x:row r="20" ht="29.25" customHeight="1">
      <x:c r="A20" s="17" t="str">
        <x:v>complaint_flag</x:v>
      </x:c>
      <x:c r="B20" s="11" t="str">
        <x:v>是否投诉</x:v>
      </x:c>
      <x:c r="C20" s="11" t="str">
        <x:v>整数 0 或 1</x:v>
      </x:c>
      <x:c r="D20" s="11" t="str">
        <x:v>否</x:v>
      </x:c>
      <x:c r="E20" s="11" t="str">
        <x:v>0 为未投诉，1 为已投诉。</x:v>
      </x:c>
    </x:row>
    <x:row r="21" ht="29.25" customHeight="1">
      <x:c r="A21" s="17" t="str">
        <x:v>rating</x:v>
      </x:c>
      <x:c r="B21" s="11" t="str">
        <x:v>用户评分</x:v>
      </x:c>
      <x:c r="C21" s="11" t="str">
        <x:v>整数 1–5</x:v>
      </x:c>
      <x:c r="D21" s="11" t="str">
        <x:v>是</x:v>
      </x:c>
      <x:c r="E21" s="11" t="str">
        <x:v>用户未评价时留空；不得把空值填成 0。</x:v>
      </x:c>
    </x:row>
    <x:row r="22">
      <x:c r="A22" s="2"/>
      <x:c r="B22" s="2"/>
      <x:c r="C22" s="2"/>
      <x:c r="D22" s="2"/>
      <x:c r="E22" s="2"/>
    </x:row>
    <x:row r="23">
      <x:c r="A23" s="15" t="str">
        <x:v>数据质量规则</x:v>
      </x:c>
      <x:c r="B23" s="2"/>
      <x:c r="C23" s="2"/>
      <x:c r="D23" s="2"/>
      <x:c r="E23" s="2"/>
    </x:row>
    <x:row r="24">
      <x:c r="A24" s="16" t="str">
        <x:v>ID 唯一；时间顺序合理；工单状态与完工时间一致；异常类型与发现时间一致；投诉标记只能为 0/1。</x:v>
      </x:c>
      <x:c r="B24" s="16"/>
      <x:c r="C24" s="16"/>
      <x:c r="D24" s="16"/>
      <x:c r="E24" s="16"/>
    </x:row>
    <x:row r="25">
      <x:c r="A25" s="16" t="str">
        <x:v>数据均为模拟，不包含真实用户个人信息。第 3–4 天生成记录时按本表检查。</x:v>
      </x:c>
      <x:c r="B25" s="16"/>
      <x:c r="C25" s="16"/>
      <x:c r="D25" s="16"/>
      <x:c r="E25" s="16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3.7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8" max="8" width="19" hidden="0" customWidth="1"/>
    <x:col min="9" max="9" width="19" hidden="0" customWidth="1"/>
    <x:col min="7" max="7" width="14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.25" customHeight="1">
      <x:c r="A2" s="3" t="str">
        <x:v>三张工单的指标校验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18" t="str">
        <x:v>这是口径测试，不代表真实服务表现。修改样例记录后，右侧标记和上方比率应随之更新。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 ht="25.5" customHeight="1">
      <x:c r="A4" s="9" t="str">
        <x:v>指标</x:v>
      </x:c>
      <x:c r="B4" s="9" t="str">
        <x:v>公式结果</x:v>
      </x:c>
      <x:c r="C4" s="9" t="str">
        <x:v>手工预期</x:v>
      </x:c>
      <x:c r="D4" s="9" t="str">
        <x:v>核对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准时上门率</x:v>
      </x:c>
      <x:c r="B5" s="19" t="n">
        <x:f>SUM(K12:K14)/COUNTA(A12:A14)</x:f>
        <x:v>0.3333333333333333</x:v>
      </x:c>
      <x:c r="C5" s="20" t="n">
        <x:v>0.3333333333333333</x:v>
      </x:c>
      <x:c r="D5" s="21" t="str">
        <x:f>IF(ABS(B5-C5)&lt;0.000001,"一致","不一致")</x:f>
        <x:v>一致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按期完工率</x:v>
      </x:c>
      <x:c r="B6" s="19" t="n">
        <x:f>SUM(L12:L14)/COUNTA(A12:A14)</x:f>
        <x:v>0.3333333333333333</x:v>
      </x:c>
      <x:c r="C6" s="20" t="n">
        <x:v>0.3333333333333333</x:v>
      </x:c>
      <x:c r="D6" s="21" t="str">
        <x:f>IF(ABS(B6-C6)&lt;0.000001,"一致","不一致")</x:f>
        <x:v>一致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投诉率</x:v>
      </x:c>
      <x:c r="B7" s="19" t="n">
        <x:f>SUM(J12:J14)/COUNTA(A12:A14)</x:f>
        <x:v>0.3333333333333333</x:v>
      </x:c>
      <x:c r="C7" s="20" t="n">
        <x:v>0.3333333333333333</x:v>
      </x:c>
      <x:c r="D7" s="21" t="str">
        <x:f>IF(ABS(B7-C7)&lt;0.000001,"一致","不一致")</x:f>
        <x:v>一致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异常闭环率</x:v>
      </x:c>
      <x:c r="B8" s="19" t="n">
        <x:f>SUM(N12:N14)/SUM(M12:M14)</x:f>
        <x:v>0.5</x:v>
      </x:c>
      <x:c r="C8" s="20" t="n">
        <x:v>0.5</x:v>
      </x:c>
      <x:c r="D8" s="21" t="str">
        <x:f>IF(ABS(B8-C8)&lt;0.000001,"一致","不一致")</x:f>
        <x:v>一致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16" t="str">
        <x:v>样例工单：黄色为预设输入，右侧 0/1 标记由公式计算。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5.5" customHeight="1">
      <x:c r="A11" s="9" t="str">
        <x:v>工单ID</x:v>
      </x:c>
      <x:c r="B11" s="9" t="str">
        <x:v>预约截止</x:v>
      </x:c>
      <x:c r="C11" s="9" t="str">
        <x:v>实际派单</x:v>
      </x:c>
      <x:c r="D11" s="9" t="str">
        <x:v>实际上门</x:v>
      </x:c>
      <x:c r="E11" s="9" t="str">
        <x:v>完工截止</x:v>
      </x:c>
      <x:c r="F11" s="9" t="str">
        <x:v>实际完工</x:v>
      </x:c>
      <x:c r="G11" s="9" t="str">
        <x:v>主要异常</x:v>
      </x:c>
      <x:c r="H11" s="9" t="str">
        <x:v>异常发现</x:v>
      </x:c>
      <x:c r="I11" s="9" t="str">
        <x:v>异常关闭</x:v>
      </x:c>
      <x:c r="J11" s="9" t="str">
        <x:v>投诉</x:v>
      </x:c>
      <x:c r="K11" s="9" t="str">
        <x:v>准时上门</x:v>
      </x:c>
      <x:c r="L11" s="9" t="str">
        <x:v>按期完工</x:v>
      </x:c>
      <x:c r="M11" s="9" t="str">
        <x:v>异常标记</x:v>
      </x:c>
      <x:c r="N11" s="9" t="str">
        <x:v>异常闭环</x:v>
      </x:c>
    </x:row>
    <x:row r="12" ht="23.25" customHeight="1">
      <x:c r="A12" s="23" t="str">
        <x:v>A001</x:v>
      </x:c>
      <x:c r="B12" s="24" t="n">
        <x:v>46244.416666666664</x:v>
      </x:c>
      <x:c r="C12" s="24" t="n">
        <x:v>46243.625</x:v>
      </x:c>
      <x:c r="D12" s="24" t="n">
        <x:v>46244.40972222222</x:v>
      </x:c>
      <x:c r="E12" s="24" t="n">
        <x:v>46244.5</x:v>
      </x:c>
      <x:c r="F12" s="24" t="n">
        <x:v>46244.479166666664</x:v>
      </x:c>
      <x:c r="G12" s="23" t="str">
        <x:v>无</x:v>
      </x:c>
      <x:c r="H12" s="24"/>
      <x:c r="I12" s="24"/>
      <x:c r="J12" s="26" t="n">
        <x:v>0</x:v>
      </x:c>
      <x:c r="K12" s="27" t="n">
        <x:f>IF(AND(ISNUMBER(D12),D12&lt;=B12),1,0)</x:f>
        <x:v>1</x:v>
      </x:c>
      <x:c r="L12" s="27" t="n">
        <x:f>IF(AND(ISNUMBER(F12),F12&lt;=E12),1,0)</x:f>
        <x:v>1</x:v>
      </x:c>
      <x:c r="M12" s="27" t="n">
        <x:f>IF(G12="无",0,1)</x:f>
        <x:v>0</x:v>
      </x:c>
      <x:c r="N12" s="27" t="n">
        <x:f>IF(AND(M12=1,ISNUMBER(I12)),1,0)</x:f>
        <x:v>0</x:v>
      </x:c>
    </x:row>
    <x:row r="13" ht="23.25" customHeight="1">
      <x:c r="A13" s="23" t="str">
        <x:v>B002</x:v>
      </x:c>
      <x:c r="B13" s="24" t="n">
        <x:v>46245.416666666664</x:v>
      </x:c>
      <x:c r="C13" s="24" t="n">
        <x:v>46244.708333333336</x:v>
      </x:c>
      <x:c r="D13" s="24" t="n">
        <x:v>46245.46527777778</x:v>
      </x:c>
      <x:c r="E13" s="24" t="n">
        <x:v>46245.625</x:v>
      </x:c>
      <x:c r="F13" s="24" t="n">
        <x:v>46245.666666666664</x:v>
      </x:c>
      <x:c r="G13" s="23" t="str">
        <x:v>上门超时</x:v>
      </x:c>
      <x:c r="H13" s="24" t="n">
        <x:v>46245.416666666664</x:v>
      </x:c>
      <x:c r="I13" s="24" t="n">
        <x:v>46245.729166666664</x:v>
      </x:c>
      <x:c r="J13" s="26" t="n">
        <x:v>1</x:v>
      </x:c>
      <x:c r="K13" s="27" t="n">
        <x:f>IF(AND(ISNUMBER(D13),D13&lt;=B13),1,0)</x:f>
        <x:v>0</x:v>
      </x:c>
      <x:c r="L13" s="27" t="n">
        <x:f>IF(AND(ISNUMBER(F13),F13&lt;=E13),1,0)</x:f>
        <x:v>0</x:v>
      </x:c>
      <x:c r="M13" s="27" t="n">
        <x:f>IF(G13="无",0,1)</x:f>
        <x:v>1</x:v>
      </x:c>
      <x:c r="N13" s="27" t="n">
        <x:f>IF(AND(M13=1,ISNUMBER(I13)),1,0)</x:f>
        <x:v>1</x:v>
      </x:c>
    </x:row>
    <x:row r="14" ht="23.25" customHeight="1">
      <x:c r="A14" s="23" t="str">
        <x:v>C003</x:v>
      </x:c>
      <x:c r="B14" s="24" t="n">
        <x:v>46246.416666666664</x:v>
      </x:c>
      <x:c r="C14" s="24"/>
      <x:c r="D14" s="24"/>
      <x:c r="E14" s="24" t="n">
        <x:v>46246.75</x:v>
      </x:c>
      <x:c r="F14" s="24"/>
      <x:c r="G14" s="23" t="str">
        <x:v>派单超时</x:v>
      </x:c>
      <x:c r="H14" s="24" t="n">
        <x:v>46246.416666666664</x:v>
      </x:c>
      <x:c r="I14" s="24"/>
      <x:c r="J14" s="26" t="n">
        <x:v>0</x:v>
      </x:c>
      <x:c r="K14" s="27" t="n">
        <x:f>IF(AND(ISNUMBER(D14),D14&lt;=B14),1,0)</x:f>
        <x:v>0</x:v>
      </x:c>
      <x:c r="L14" s="27" t="n">
        <x:f>IF(AND(ISNUMBER(F14),F14&lt;=E14),1,0)</x:f>
        <x:v>0</x:v>
      </x:c>
      <x:c r="M14" s="27" t="n">
        <x:f>IF(G14="无",0,1)</x:f>
        <x:v>1</x:v>
      </x:c>
      <x:c r="N14" s="27" t="n">
        <x:f>IF(AND(M14=1,ISNUMBER(I14)),1,0)</x:f>
        <x:v>0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16" t="str">
        <x:v>预期：A 正常；B 上门和完工均超时、异常已关闭；C 截止时未派单且异常未关闭。</x:v>
      </x:c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</x:sheetData>
  <x:pageMargins left="0.7" right="0.7" top="0.75" bottom="0.75" header="0.3" footer="0.3"/>
</x:worksheet>
</file>